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teleperformance-my.sharepoint.com/personal/saini_1569_apac_teleperformance_com/Documents/Teleperformance - Nitesh/2025/Feb/Fanatics/"/>
    </mc:Choice>
  </mc:AlternateContent>
  <xr:revisionPtr revIDLastSave="2742" documentId="8_{A96B1381-B90E-4227-A009-37209373D7B9}" xr6:coauthVersionLast="47" xr6:coauthVersionMax="47" xr10:uidLastSave="{27CC78A8-35D7-46A3-9B49-72406AB55A86}"/>
  <bookViews>
    <workbookView minimized="1" xWindow="1515" yWindow="1515" windowWidth="15375" windowHeight="7785" firstSheet="4" activeTab="4" xr2:uid="{2CCE847E-04F5-4D47-812D-32E7F3874973}"/>
  </bookViews>
  <sheets>
    <sheet name="updated version-relationship" sheetId="13" r:id="rId1"/>
    <sheet name="Sheet1" sheetId="14" state="hidden" r:id="rId2"/>
    <sheet name="Level-wise Parameters" sheetId="7" state="hidden" r:id="rId3"/>
    <sheet name="Interventions impacting L2" sheetId="10" r:id="rId4"/>
    <sheet name="Relationships (L2 impacting L1)" sheetId="8" r:id="rId5"/>
    <sheet name="Relationships (L1 impacting BO)" sheetId="9" r:id="rId6"/>
    <sheet name="Metric IDs" sheetId="6" state="hidden" r:id="rId7"/>
    <sheet name="Metrics Mapping" sheetId="2" state="hidden" r:id="rId8"/>
    <sheet name="Update" sheetId="5" state="hidden" r:id="rId9"/>
    <sheet name="Mind Map" sheetId="3" state="hidden" r:id="rId10"/>
    <sheet name="Assumptions" sheetId="4" state="hidden" r:id="rId11"/>
  </sheets>
  <definedNames>
    <definedName name="__________w2" localSheetId="6" hidden="1">{#N/A,#N/A,FALSE,"Consol.";#N/A,#N/A,FALSE,"EM";#N/A,#N/A,FALSE,"Reagent";#N/A,#N/A,FALSE,"Raritan";#N/A,#N/A,FALSE,"UK";#N/A,#N/A,FALSE,"Germany"}</definedName>
    <definedName name="__________w2" hidden="1">{#N/A,#N/A,FALSE,"Consol.";#N/A,#N/A,FALSE,"EM";#N/A,#N/A,FALSE,"Reagent";#N/A,#N/A,FALSE,"Raritan";#N/A,#N/A,FALSE,"UK";#N/A,#N/A,FALSE,"Germany"}</definedName>
    <definedName name="________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_w2" localSheetId="6" hidden="1">{#N/A,#N/A,FALSE,"Consol.";#N/A,#N/A,FALSE,"EM";#N/A,#N/A,FALSE,"Reagent";#N/A,#N/A,FALSE,"Raritan";#N/A,#N/A,FALSE,"UK";#N/A,#N/A,FALSE,"Germany"}</definedName>
    <definedName name="_________w2" hidden="1">{#N/A,#N/A,FALSE,"Consol.";#N/A,#N/A,FALSE,"EM";#N/A,#N/A,FALSE,"Reagent";#N/A,#N/A,FALSE,"Raritan";#N/A,#N/A,FALSE,"UK";#N/A,#N/A,FALSE,"Germany"}</definedName>
    <definedName name="_______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_ww1" localSheetId="6" hidden="1">{#N/A,#N/A,FALSE,"Consol.";#N/A,#N/A,FALSE,"EM";#N/A,#N/A,FALSE,"Reagent";#N/A,#N/A,FALSE,"Raritan";#N/A,#N/A,FALSE,"UK";#N/A,#N/A,FALSE,"Germany"}</definedName>
    <definedName name="_________ww1" hidden="1">{#N/A,#N/A,FALSE,"Consol.";#N/A,#N/A,FALSE,"EM";#N/A,#N/A,FALSE,"Reagent";#N/A,#N/A,FALSE,"Raritan";#N/A,#N/A,FALSE,"UK";#N/A,#N/A,FALSE,"Germany"}</definedName>
    <definedName name="________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w2" localSheetId="6" hidden="1">{#N/A,#N/A,FALSE,"Consol.";#N/A,#N/A,FALSE,"EM";#N/A,#N/A,FALSE,"Reagent";#N/A,#N/A,FALSE,"Raritan";#N/A,#N/A,FALSE,"UK";#N/A,#N/A,FALSE,"Germany"}</definedName>
    <definedName name="________w2" hidden="1">{#N/A,#N/A,FALSE,"Consol.";#N/A,#N/A,FALSE,"EM";#N/A,#N/A,FALSE,"Reagent";#N/A,#N/A,FALSE,"Raritan";#N/A,#N/A,FALSE,"UK";#N/A,#N/A,FALSE,"Germany"}</definedName>
    <definedName name="______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ww1" localSheetId="6" hidden="1">{#N/A,#N/A,FALSE,"Consol.";#N/A,#N/A,FALSE,"EM";#N/A,#N/A,FALSE,"Reagent";#N/A,#N/A,FALSE,"Raritan";#N/A,#N/A,FALSE,"UK";#N/A,#N/A,FALSE,"Germany"}</definedName>
    <definedName name="________ww1" hidden="1">{#N/A,#N/A,FALSE,"Consol.";#N/A,#N/A,FALSE,"EM";#N/A,#N/A,FALSE,"Reagent";#N/A,#N/A,FALSE,"Raritan";#N/A,#N/A,FALSE,"UK";#N/A,#N/A,FALSE,"Germany"}</definedName>
    <definedName name="_______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w2" localSheetId="6" hidden="1">{#N/A,#N/A,FALSE,"Consol.";#N/A,#N/A,FALSE,"EM";#N/A,#N/A,FALSE,"Reagent";#N/A,#N/A,FALSE,"Raritan";#N/A,#N/A,FALSE,"UK";#N/A,#N/A,FALSE,"Germany"}</definedName>
    <definedName name="_______w2" hidden="1">{#N/A,#N/A,FALSE,"Consol.";#N/A,#N/A,FALSE,"EM";#N/A,#N/A,FALSE,"Reagent";#N/A,#N/A,FALSE,"Raritan";#N/A,#N/A,FALSE,"UK";#N/A,#N/A,FALSE,"Germany"}</definedName>
    <definedName name="_____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ww1" localSheetId="6" hidden="1">{#N/A,#N/A,FALSE,"Consol.";#N/A,#N/A,FALSE,"EM";#N/A,#N/A,FALSE,"Reagent";#N/A,#N/A,FALSE,"Raritan";#N/A,#N/A,FALSE,"UK";#N/A,#N/A,FALSE,"Germany"}</definedName>
    <definedName name="_______ww1" hidden="1">{#N/A,#N/A,FALSE,"Consol.";#N/A,#N/A,FALSE,"EM";#N/A,#N/A,FALSE,"Reagent";#N/A,#N/A,FALSE,"Raritan";#N/A,#N/A,FALSE,"UK";#N/A,#N/A,FALSE,"Germany"}</definedName>
    <definedName name="______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ww1" localSheetId="6" hidden="1">{#N/A,#N/A,FALSE,"Consol.";#N/A,#N/A,FALSE,"EM";#N/A,#N/A,FALSE,"Reagent";#N/A,#N/A,FALSE,"Raritan";#N/A,#N/A,FALSE,"UK";#N/A,#N/A,FALSE,"Germany"}</definedName>
    <definedName name="______ww1" hidden="1">{#N/A,#N/A,FALSE,"Consol.";#N/A,#N/A,FALSE,"EM";#N/A,#N/A,FALSE,"Reagent";#N/A,#N/A,FALSE,"Raritan";#N/A,#N/A,FALSE,"UK";#N/A,#N/A,FALSE,"Germany"}</definedName>
    <definedName name="_____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w2" localSheetId="6" hidden="1">{#N/A,#N/A,FALSE,"Consol.";#N/A,#N/A,FALSE,"EM";#N/A,#N/A,FALSE,"Reagent";#N/A,#N/A,FALSE,"Raritan";#N/A,#N/A,FALSE,"UK";#N/A,#N/A,FALSE,"Germany"}</definedName>
    <definedName name="_____w2" hidden="1">{#N/A,#N/A,FALSE,"Consol.";#N/A,#N/A,FALSE,"EM";#N/A,#N/A,FALSE,"Reagent";#N/A,#N/A,FALSE,"Raritan";#N/A,#N/A,FALSE,"UK";#N/A,#N/A,FALSE,"Germany"}</definedName>
    <definedName name="___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w2" localSheetId="6" hidden="1">{#N/A,#N/A,FALSE,"Consol.";#N/A,#N/A,FALSE,"EM";#N/A,#N/A,FALSE,"Reagent";#N/A,#N/A,FALSE,"Raritan";#N/A,#N/A,FALSE,"UK";#N/A,#N/A,FALSE,"Germany"}</definedName>
    <definedName name="____w2" hidden="1">{#N/A,#N/A,FALSE,"Consol.";#N/A,#N/A,FALSE,"EM";#N/A,#N/A,FALSE,"Reagent";#N/A,#N/A,FALSE,"Raritan";#N/A,#N/A,FALSE,"UK";#N/A,#N/A,FALSE,"Germany"}</definedName>
    <definedName name="__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ww1" localSheetId="6" hidden="1">{#N/A,#N/A,FALSE,"Consol.";#N/A,#N/A,FALSE,"EM";#N/A,#N/A,FALSE,"Reagent";#N/A,#N/A,FALSE,"Raritan";#N/A,#N/A,FALSE,"UK";#N/A,#N/A,FALSE,"Germany"}</definedName>
    <definedName name="____ww1" hidden="1">{#N/A,#N/A,FALSE,"Consol.";#N/A,#N/A,FALSE,"EM";#N/A,#N/A,FALSE,"Reagent";#N/A,#N/A,FALSE,"Raritan";#N/A,#N/A,FALSE,"UK";#N/A,#N/A,FALSE,"Germany"}</definedName>
    <definedName name="___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tim1" localSheetId="6" hidden="1">{#N/A,#N/A,FALSE,"Consol.";#N/A,#N/A,FALSE,"EM";#N/A,#N/A,FALSE,"Reagent";#N/A,#N/A,FALSE,"Raritan";#N/A,#N/A,FALSE,"UK";#N/A,#N/A,FALSE,"Germany"}</definedName>
    <definedName name="___tim1" hidden="1">{#N/A,#N/A,FALSE,"Consol.";#N/A,#N/A,FALSE,"EM";#N/A,#N/A,FALSE,"Reagent";#N/A,#N/A,FALSE,"Raritan";#N/A,#N/A,FALSE,"UK";#N/A,#N/A,FALSE,"Germany"}</definedName>
    <definedName name="___w2" localSheetId="6" hidden="1">{#N/A,#N/A,FALSE,"Consol.";#N/A,#N/A,FALSE,"EM";#N/A,#N/A,FALSE,"Reagent";#N/A,#N/A,FALSE,"Raritan";#N/A,#N/A,FALSE,"UK";#N/A,#N/A,FALSE,"Germany"}</definedName>
    <definedName name="___w2" hidden="1">{#N/A,#N/A,FALSE,"Consol.";#N/A,#N/A,FALSE,"EM";#N/A,#N/A,FALSE,"Reagent";#N/A,#N/A,FALSE,"Raritan";#N/A,#N/A,FALSE,"UK";#N/A,#N/A,FALSE,"Germany"}</definedName>
    <definedName name="_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ww1" localSheetId="6" hidden="1">{#N/A,#N/A,FALSE,"Consol.";#N/A,#N/A,FALSE,"EM";#N/A,#N/A,FALSE,"Reagent";#N/A,#N/A,FALSE,"Raritan";#N/A,#N/A,FALSE,"UK";#N/A,#N/A,FALSE,"Germany"}</definedName>
    <definedName name="___ww1" hidden="1">{#N/A,#N/A,FALSE,"Consol.";#N/A,#N/A,FALSE,"EM";#N/A,#N/A,FALSE,"Reagent";#N/A,#N/A,FALSE,"Raritan";#N/A,#N/A,FALSE,"UK";#N/A,#N/A,FALSE,"Germany"}</definedName>
    <definedName name="__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123Graph_A"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urrent" hidden="1">#REF!</definedName>
    <definedName name="__123Graph_B"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urrent" hidden="1">#REF!</definedName>
    <definedName name="__123Graph_C"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urrent" hidden="1">#REF!</definedName>
    <definedName name="__123Graph_D"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urrent" hidden="1">#REF!</definedName>
    <definedName name="__123Graph_E" hidden="1">#REF!</definedName>
    <definedName name="__123Graph_EChart1"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urrent" hidden="1">#REF!</definedName>
    <definedName name="__123Graph_F" hidden="1">#REF!</definedName>
    <definedName name="__123Graph_FChart1" hidden="1">#REF!</definedName>
    <definedName name="__123Graph_FChart2" hidden="1">#REF!</definedName>
    <definedName name="__123Graph_FChart3" hidden="1">#REF!</definedName>
    <definedName name="__123Graph_FChart4" hidden="1">#REF!</definedName>
    <definedName name="__123Graph_FChart5" hidden="1">#REF!</definedName>
    <definedName name="__123Graph_FCurrent" hidden="1">#REF!</definedName>
    <definedName name="__w2" localSheetId="6" hidden="1">{#N/A,#N/A,FALSE,"Consol.";#N/A,#N/A,FALSE,"EM";#N/A,#N/A,FALSE,"Reagent";#N/A,#N/A,FALSE,"Raritan";#N/A,#N/A,FALSE,"UK";#N/A,#N/A,FALSE,"Germany"}</definedName>
    <definedName name="__w2" hidden="1">{#N/A,#N/A,FALSE,"Consol.";#N/A,#N/A,FALSE,"EM";#N/A,#N/A,FALSE,"Reagent";#N/A,#N/A,FALSE,"Raritan";#N/A,#N/A,FALSE,"UK";#N/A,#N/A,FALSE,"Germany"}</definedName>
    <definedName name="_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ww1" localSheetId="6" hidden="1">{#N/A,#N/A,FALSE,"Consol.";#N/A,#N/A,FALSE,"EM";#N/A,#N/A,FALSE,"Reagent";#N/A,#N/A,FALSE,"Raritan";#N/A,#N/A,FALSE,"UK";#N/A,#N/A,FALSE,"Germany"}</definedName>
    <definedName name="__ww1" hidden="1">{#N/A,#N/A,FALSE,"Consol.";#N/A,#N/A,FALSE,"EM";#N/A,#N/A,FALSE,"Reagent";#N/A,#N/A,FALSE,"Raritan";#N/A,#N/A,FALSE,"UK";#N/A,#N/A,FALSE,"Germany"}</definedName>
    <definedName name="_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15SMGDF">#REF!</definedName>
    <definedName name="_25SMGDF">#REF!</definedName>
    <definedName name="_3SMGDF">#REF!</definedName>
    <definedName name="_A67000">#REF!</definedName>
    <definedName name="_A69000">#REF!</definedName>
    <definedName name="_AMO_UniqueIdentifier" hidden="1">"'1be17911-424b-4f2a-9fb8-2c621e4d81a2'"</definedName>
    <definedName name="_cap1" localSheetId="6" hidden="1">{"stat",#N/A,FALSE,"Sheet1"}</definedName>
    <definedName name="_cap1" hidden="1">{"stat",#N/A,FALSE,"Sheet1"}</definedName>
    <definedName name="_cap2" localSheetId="6" hidden="1">{"direct labor",#N/A,FALSE,"Sheet1"}</definedName>
    <definedName name="_cap2" hidden="1">{"direct labor",#N/A,FALSE,"Sheet1"}</definedName>
    <definedName name="_CLF1">#REF!</definedName>
    <definedName name="_d1" localSheetId="6" hidden="1">{#N/A,#N/A,FALSE,"Sales"}</definedName>
    <definedName name="_d1" hidden="1">{#N/A,#N/A,FALSE,"Sales"}</definedName>
    <definedName name="_d116" localSheetId="6" hidden="1">{#N/A,#N/A,FALSE,"Sales"}</definedName>
    <definedName name="_d116" hidden="1">{#N/A,#N/A,FALSE,"Sales"}</definedName>
    <definedName name="_d16" localSheetId="6" hidden="1">{"Annual",#N/A,FALSE,"Sales &amp; Market";"Quarterly",#N/A,FALSE,"Sales &amp; Market"}</definedName>
    <definedName name="_d16" hidden="1">{"Annual",#N/A,FALSE,"Sales &amp; Market";"Quarterly",#N/A,FALSE,"Sales &amp; Market"}</definedName>
    <definedName name="_d2" localSheetId="6" hidden="1">{#N/A,#N/A,FALSE,"Sales"}</definedName>
    <definedName name="_d2" hidden="1">{#N/A,#N/A,FALSE,"Sales"}</definedName>
    <definedName name="_d216" localSheetId="6" hidden="1">{#N/A,#N/A,FALSE,"Sales"}</definedName>
    <definedName name="_d216" hidden="1">{#N/A,#N/A,FALSE,"Sales"}</definedName>
    <definedName name="_fff1" localSheetId="6" hidden="1">{"Annual",#N/A,FALSE,"Sales &amp; Market";"Quarterly",#N/A,FALSE,"Sales &amp; Market"}</definedName>
    <definedName name="_fff1" hidden="1">{"Annual",#N/A,FALSE,"Sales &amp; Market";"Quarterly",#N/A,FALSE,"Sales &amp; Market"}</definedName>
    <definedName name="_Fill" hidden="1">#REF!</definedName>
    <definedName name="_xlnm._FilterDatabase" localSheetId="4" hidden="1">'Relationships (L2 impacting L1)'!$D$2:$L$2</definedName>
    <definedName name="_xlnm._FilterDatabase" localSheetId="0" hidden="1">'updated version-relationship'!$B$2:$J$26</definedName>
    <definedName name="_gc1" localSheetId="6" hidden="1">{"Annual",#N/A,FALSE,"Sales &amp; Market";"Quarterly",#N/A,FALSE,"Sales &amp; Market"}</definedName>
    <definedName name="_gc1" hidden="1">{"Annual",#N/A,FALSE,"Sales &amp; Market";"Quarterly",#N/A,FALSE,"Sales &amp; Market"}</definedName>
    <definedName name="_Key1" hidden="1">#REF!</definedName>
    <definedName name="_msoanchor_1">#REF!</definedName>
    <definedName name="_msoanchor_3">#REF!</definedName>
    <definedName name="_ok1" localSheetId="6" hidden="1">{"Annual",#N/A,FALSE,"Sales &amp; Market";"Quarterly",#N/A,FALSE,"Sales &amp; Market"}</definedName>
    <definedName name="_ok1" hidden="1">{"Annual",#N/A,FALSE,"Sales &amp; Market";"Quarterly",#N/A,FALSE,"Sales &amp; Market"}</definedName>
    <definedName name="_Order1" hidden="1">255</definedName>
    <definedName name="_Order2" hidden="1">255</definedName>
    <definedName name="_Parse_In" hidden="1">#REF!</definedName>
    <definedName name="_Sort" hidden="1">#REF!</definedName>
    <definedName name="_tax1" localSheetId="6"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tax1"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tim1" localSheetId="6" hidden="1">{#N/A,#N/A,FALSE,"Consol.";#N/A,#N/A,FALSE,"EM";#N/A,#N/A,FALSE,"Reagent";#N/A,#N/A,FALSE,"Raritan";#N/A,#N/A,FALSE,"UK";#N/A,#N/A,FALSE,"Germany"}</definedName>
    <definedName name="_tim1" hidden="1">{#N/A,#N/A,FALSE,"Consol.";#N/A,#N/A,FALSE,"EM";#N/A,#N/A,FALSE,"Reagent";#N/A,#N/A,FALSE,"Raritan";#N/A,#N/A,FALSE,"UK";#N/A,#N/A,FALSE,"Germany"}</definedName>
    <definedName name="_Toc100142032">#REF!</definedName>
    <definedName name="_Toc100142033">#REF!</definedName>
    <definedName name="_Toc100142034">#REF!</definedName>
    <definedName name="_Toc100142035">#REF!</definedName>
    <definedName name="_Toc100142036">#REF!</definedName>
    <definedName name="_Toc100142037">#REF!</definedName>
    <definedName name="_Toc100142038">#REF!</definedName>
    <definedName name="_Toc100142039">#REF!</definedName>
    <definedName name="_Toc100142041">#REF!</definedName>
    <definedName name="_Toc100142043">#REF!</definedName>
    <definedName name="_Toc100142044">#REF!</definedName>
    <definedName name="_Toc100142045">#REF!</definedName>
    <definedName name="_Toc100142046">#REF!</definedName>
    <definedName name="_Toc100142047">#REF!</definedName>
    <definedName name="_Toc100142048">#REF!</definedName>
    <definedName name="_Toc99981304">#REF!</definedName>
    <definedName name="_Toc99981308">#REF!</definedName>
    <definedName name="_Toc99981317">#REF!</definedName>
    <definedName name="_w2" localSheetId="6" hidden="1">{#N/A,#N/A,FALSE,"Consol.";#N/A,#N/A,FALSE,"EM";#N/A,#N/A,FALSE,"Reagent";#N/A,#N/A,FALSE,"Raritan";#N/A,#N/A,FALSE,"UK";#N/A,#N/A,FALSE,"Germany"}</definedName>
    <definedName name="_w2" hidden="1">{#N/A,#N/A,FALSE,"Consol.";#N/A,#N/A,FALSE,"EM";#N/A,#N/A,FALSE,"Reagent";#N/A,#N/A,FALSE,"Raritan";#N/A,#N/A,FALSE,"UK";#N/A,#N/A,FALSE,"Germany"}</definedName>
    <definedName name="_w3"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w3"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ww1" localSheetId="6" hidden="1">{#N/A,#N/A,FALSE,"Consol.";#N/A,#N/A,FALSE,"EM";#N/A,#N/A,FALSE,"Reagent";#N/A,#N/A,FALSE,"Raritan";#N/A,#N/A,FALSE,"UK";#N/A,#N/A,FALSE,"Germany"}</definedName>
    <definedName name="_ww1" hidden="1">{#N/A,#N/A,FALSE,"Consol.";#N/A,#N/A,FALSE,"EM";#N/A,#N/A,FALSE,"Reagent";#N/A,#N/A,FALSE,"Raritan";#N/A,#N/A,FALSE,"UK";#N/A,#N/A,FALSE,"Germany"}</definedName>
    <definedName name="_ww2"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ww2"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_xlcn.WorksheetConnection_DailyBillableTrackerMay21.xlsxDate" hidden="1">#REF!</definedName>
    <definedName name="_xlcn.WorksheetConnection_DailyBillableTrackerMay21.xlsxDate11" hidden="1">#REF!</definedName>
    <definedName name="_xlcn.WorksheetConnection_DailyBillableTrackerMay21.xlsxMasterlistChat" hidden="1">#REF!</definedName>
    <definedName name="_xlcn.WorksheetConnection_DailyBillableTrackerMay21.xlsxMasterlistChat11" hidden="1">#REF!</definedName>
    <definedName name="_xlcn.WorksheetConnection_DailyBillableTrackerMay21.xlsxonlinehrs" hidden="1">#REF!</definedName>
    <definedName name="_xlcn.WorksheetConnection_DailyBillableTrackerMay21.xlsxonlinehrs11" hidden="1">#REF!</definedName>
    <definedName name="_xlcn.WorksheetConnection_DailyBillableTrackerMay21.xlsxservinghrs" hidden="1">#REF!</definedName>
    <definedName name="_xlcn.WorksheetConnection_DailyBillableTrackerMay21.xlsxservinghrs11" hidden="1">#REF!</definedName>
    <definedName name="_xlcn.WorksheetConnection_DailyBillableTrackerMay21.xlsxsignedin" hidden="1">#REF!</definedName>
    <definedName name="_xlcn.WorksheetConnection_DailyBillableTrackerMay21.xlsxsignedin11" hidden="1">#REF!</definedName>
    <definedName name="_xlcn.WorksheetConnection_DetailDataQAScoreSHEIN.xlsxTable1" hidden="1">#REF!</definedName>
    <definedName name="a" localSheetId="6" hidden="1">{#N/A,#N/A,FALSE,"Consol.";#N/A,#N/A,FALSE,"Roch-EM";#N/A,#N/A,FALSE,"Reagents";#N/A,#N/A,FALSE,"Cardiff";#N/A,#N/A,FALSE,"Germany";#N/A,#N/A,FALSE,"Raitan";#N/A,#N/A,FALSE,"CTS";#N/A,#N/A,FALSE,"IM";#N/A,#N/A,FALSE,"Quality";#N/A,#N/A,FALSE,"Logistics"}</definedName>
    <definedName name="a" hidden="1">{#N/A,#N/A,FALSE,"Consol.";#N/A,#N/A,FALSE,"Roch-EM";#N/A,#N/A,FALSE,"Reagents";#N/A,#N/A,FALSE,"Cardiff";#N/A,#N/A,FALSE,"Germany";#N/A,#N/A,FALSE,"Raitan";#N/A,#N/A,FALSE,"CTS";#N/A,#N/A,FALSE,"IM";#N/A,#N/A,FALSE,"Quality";#N/A,#N/A,FALSE,"Logistics"}</definedName>
    <definedName name="aaa" localSheetId="6" hidden="1">{"direct labor",#N/A,FALSE,"Sheet1"}</definedName>
    <definedName name="aaa" hidden="1">{"direct labor",#N/A,FALSE,"Sheet1"}</definedName>
    <definedName name="aaaa"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aaa"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aaaa"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aaaa"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AAAAAAA">#REF!</definedName>
    <definedName name="aaaaaaaaaaaaaaaaaaaaaaaaaaaaaaaaaaaaaaaaaaaaaaaaaaaaaaaaaaaaaaaaaaaa" localSheetId="6" hidden="1">{#N/A,#N/A,FALSE,"Consol.";#N/A,#N/A,FALSE,"EM";#N/A,#N/A,FALSE,"Reagent";#N/A,#N/A,FALSE,"Raritan";#N/A,#N/A,FALSE,"UK";#N/A,#N/A,FALSE,"Germany"}</definedName>
    <definedName name="aaaaaaaaaaaaaaaaaaaaaaaaaaaaaaaaaaaaaaaaaaaaaaaaaaaaaaaaaaaaaaaaaaaa" hidden="1">{#N/A,#N/A,FALSE,"Consol.";#N/A,#N/A,FALSE,"EM";#N/A,#N/A,FALSE,"Reagent";#N/A,#N/A,FALSE,"Raritan";#N/A,#N/A,FALSE,"UK";#N/A,#N/A,FALSE,"Germany"}</definedName>
    <definedName name="aaab"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aaab"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aanaas" localSheetId="6" hidden="1">{#N/A,#N/A,FALSE,"Consol.";#N/A,#N/A,FALSE,"EM";#N/A,#N/A,FALSE,"Reagent";#N/A,#N/A,FALSE,"Raritan";#N/A,#N/A,FALSE,"UK";#N/A,#N/A,FALSE,"Germany"}</definedName>
    <definedName name="aanaas" hidden="1">{#N/A,#N/A,FALSE,"Consol.";#N/A,#N/A,FALSE,"EM";#N/A,#N/A,FALSE,"Reagent";#N/A,#N/A,FALSE,"Raritan";#N/A,#N/A,FALSE,"UK";#N/A,#N/A,FALSE,"Germany"}</definedName>
    <definedName name="ab" localSheetId="6" hidden="1">{#N/A,#N/A,FALSE,"Consol.";#N/A,#N/A,FALSE,"Roch-EM";#N/A,#N/A,FALSE,"Reagents";#N/A,#N/A,FALSE,"Cardiff";#N/A,#N/A,FALSE,"Germany";#N/A,#N/A,FALSE,"Raitan";#N/A,#N/A,FALSE,"CTS";#N/A,#N/A,FALSE,"IM";#N/A,#N/A,FALSE,"Quality";#N/A,#N/A,FALSE,"Logistics"}</definedName>
    <definedName name="ab" hidden="1">{#N/A,#N/A,FALSE,"Consol.";#N/A,#N/A,FALSE,"Roch-EM";#N/A,#N/A,FALSE,"Reagents";#N/A,#N/A,FALSE,"Cardiff";#N/A,#N/A,FALSE,"Germany";#N/A,#N/A,FALSE,"Raitan";#N/A,#N/A,FALSE,"CTS";#N/A,#N/A,FALSE,"IM";#N/A,#N/A,FALSE,"Quality";#N/A,#N/A,FALSE,"Logistics"}</definedName>
    <definedName name="abc" localSheetId="6" hidden="1">{#N/A,#N/A,FALSE,"Consol.";#N/A,#N/A,FALSE,"EM";#N/A,#N/A,FALSE,"Reagent";#N/A,#N/A,FALSE,"Raritan";#N/A,#N/A,FALSE,"UK";#N/A,#N/A,FALSE,"Germany"}</definedName>
    <definedName name="abc" hidden="1">{#N/A,#N/A,FALSE,"Consol.";#N/A,#N/A,FALSE,"EM";#N/A,#N/A,FALSE,"Reagent";#N/A,#N/A,FALSE,"Raritan";#N/A,#N/A,FALSE,"UK";#N/A,#N/A,FALSE,"Germany"}</definedName>
    <definedName name="abcdef" localSheetId="6" hidden="1">{#N/A,#N/A,FALSE,"Consol.";#N/A,#N/A,FALSE,"Roch-EM";#N/A,#N/A,FALSE,"Reagents";#N/A,#N/A,FALSE,"Cardiff";#N/A,#N/A,FALSE,"Germany";#N/A,#N/A,FALSE,"Raitan";#N/A,#N/A,FALSE,"CTS";#N/A,#N/A,FALSE,"IM";#N/A,#N/A,FALSE,"Quality";#N/A,#N/A,FALSE,"Logistics"}</definedName>
    <definedName name="abcdef" hidden="1">{#N/A,#N/A,FALSE,"Consol.";#N/A,#N/A,FALSE,"Roch-EM";#N/A,#N/A,FALSE,"Reagents";#N/A,#N/A,FALSE,"Cardiff";#N/A,#N/A,FALSE,"Germany";#N/A,#N/A,FALSE,"Raitan";#N/A,#N/A,FALSE,"CTS";#N/A,#N/A,FALSE,"IM";#N/A,#N/A,FALSE,"Quality";#N/A,#N/A,FALSE,"Logistics"}</definedName>
    <definedName name="abcv"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bcv"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bsenteeism">#REF!</definedName>
    <definedName name="ACCDEPR">#REF!</definedName>
    <definedName name="AccountVP">#REF!</definedName>
    <definedName name="ACCRCOMP">#REF!</definedName>
    <definedName name="ACCRINCTX">#REF!</definedName>
    <definedName name="ACCRINT">#REF!</definedName>
    <definedName name="ACCRPAY">#REF!</definedName>
    <definedName name="ACCRPRLIAB">#REF!</definedName>
    <definedName name="ACCRPSLIAB">#REF!</definedName>
    <definedName name="ACCRTXLIAB">#REF!</definedName>
    <definedName name="ad">#REF!</definedName>
    <definedName name="adsf" localSheetId="6" hidden="1">{#N/A,#N/A,FALSE,"Consol.";#N/A,#N/A,FALSE,"EM";#N/A,#N/A,FALSE,"Reagent";#N/A,#N/A,FALSE,"Raritan";#N/A,#N/A,FALSE,"UK";#N/A,#N/A,FALSE,"Germany"}</definedName>
    <definedName name="adsf" hidden="1">{#N/A,#N/A,FALSE,"Consol.";#N/A,#N/A,FALSE,"EM";#N/A,#N/A,FALSE,"Reagent";#N/A,#N/A,FALSE,"Raritan";#N/A,#N/A,FALSE,"UK";#N/A,#N/A,FALSE,"Germany"}</definedName>
    <definedName name="adsf1" localSheetId="6" hidden="1">{"Annual",#N/A,FALSE,"Sales &amp; Market";"Quarterly",#N/A,FALSE,"Sales &amp; Market"}</definedName>
    <definedName name="adsf1" hidden="1">{"Annual",#N/A,FALSE,"Sales &amp; Market";"Quarterly",#N/A,FALSE,"Sales &amp; Market"}</definedName>
    <definedName name="adsfasdf" localSheetId="6" hidden="1">{#N/A,#N/A,FALSE,"Consol.";#N/A,#N/A,FALSE,"Roch-EM";#N/A,#N/A,FALSE,"Reagents";#N/A,#N/A,FALSE,"Cardiff";#N/A,#N/A,FALSE,"Germany";#N/A,#N/A,FALSE,"Raitan";#N/A,#N/A,FALSE,"CTS";#N/A,#N/A,FALSE,"IM";#N/A,#N/A,FALSE,"Quality";#N/A,#N/A,FALSE,"Logistics"}</definedName>
    <definedName name="adsfasdf" hidden="1">{#N/A,#N/A,FALSE,"Consol.";#N/A,#N/A,FALSE,"Roch-EM";#N/A,#N/A,FALSE,"Reagents";#N/A,#N/A,FALSE,"Cardiff";#N/A,#N/A,FALSE,"Germany";#N/A,#N/A,FALSE,"Raitan";#N/A,#N/A,FALSE,"CTS";#N/A,#N/A,FALSE,"IM";#N/A,#N/A,FALSE,"Quality";#N/A,#N/A,FALSE,"Logistics"}</definedName>
    <definedName name="ADSLSRECBLE">#REF!</definedName>
    <definedName name="afdadsf"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fdadsf"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afdasdf" localSheetId="6" hidden="1">{#N/A,#N/A,FALSE,"Consol.";#N/A,#N/A,FALSE,"EM";#N/A,#N/A,FALSE,"Reagent";#N/A,#N/A,FALSE,"Raritan";#N/A,#N/A,FALSE,"UK";#N/A,#N/A,FALSE,"Germany"}</definedName>
    <definedName name="afdasdf" hidden="1">{#N/A,#N/A,FALSE,"Consol.";#N/A,#N/A,FALSE,"EM";#N/A,#N/A,FALSE,"Reagent";#N/A,#N/A,FALSE,"Raritan";#N/A,#N/A,FALSE,"UK";#N/A,#N/A,FALSE,"Germany"}</definedName>
    <definedName name="afdasdfd"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afdasdfd"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afdfds" localSheetId="6" hidden="1">{#N/A,#N/A,FALSE,"Consol.";#N/A,#N/A,FALSE,"EM";#N/A,#N/A,FALSE,"Reagent";#N/A,#N/A,FALSE,"Raritan";#N/A,#N/A,FALSE,"UK";#N/A,#N/A,FALSE,"Germany"}</definedName>
    <definedName name="afdfds" hidden="1">{#N/A,#N/A,FALSE,"Consol.";#N/A,#N/A,FALSE,"EM";#N/A,#N/A,FALSE,"Reagent";#N/A,#N/A,FALSE,"Raritan";#N/A,#N/A,FALSE,"UK";#N/A,#N/A,FALSE,"Germany"}</definedName>
    <definedName name="afdfdsa" localSheetId="6" hidden="1">{#N/A,#N/A,FALSE,"Consol.";#N/A,#N/A,FALSE,"EM";#N/A,#N/A,FALSE,"Reagent";#N/A,#N/A,FALSE,"Raritan";#N/A,#N/A,FALSE,"UK";#N/A,#N/A,FALSE,"Germany"}</definedName>
    <definedName name="afdfdsa" hidden="1">{#N/A,#N/A,FALSE,"Consol.";#N/A,#N/A,FALSE,"EM";#N/A,#N/A,FALSE,"Reagent";#N/A,#N/A,FALSE,"Raritan";#N/A,#N/A,FALSE,"UK";#N/A,#N/A,FALSE,"Germany"}</definedName>
    <definedName name="allocations">#REF!</definedName>
    <definedName name="Amex_BO">#REF!</definedName>
    <definedName name="AMS">#REF!</definedName>
    <definedName name="ANilda" localSheetId="6" hidden="1">{"stat",#N/A,FALSE,"Sheet1"}</definedName>
    <definedName name="ANilda" hidden="1">{"stat",#N/A,FALSE,"Sheet1"}</definedName>
    <definedName name="Annual_Hours">#REF!</definedName>
    <definedName name="annual_quarterly1" localSheetId="6" hidden="1">{"Annual",#N/A,FALSE,"Sales &amp; Market";"Quarterly",#N/A,FALSE,"Sales &amp; Market"}</definedName>
    <definedName name="annual_quarterly1" hidden="1">{"Annual",#N/A,FALSE,"Sales &amp; Market";"Quarterly",#N/A,FALSE,"Sales &amp; Market"}</definedName>
    <definedName name="AnnualVolume_1">#REF!</definedName>
    <definedName name="anscount" hidden="1">3</definedName>
    <definedName name="AP">#REF!</definedName>
    <definedName name="Arsenal">#REF!</definedName>
    <definedName name="Arsenal2">#REF!</definedName>
    <definedName name="AS2DocOpenMode" hidden="1">"AS2DocumentEdit"</definedName>
    <definedName name="asdd">#REF!</definedName>
    <definedName name="asdf" hidden="1">#REF!</definedName>
    <definedName name="asdfasd" localSheetId="6" hidden="1">{#N/A,#N/A,FALSE,"Consol.";#N/A,#N/A,FALSE,"EM";#N/A,#N/A,FALSE,"Reagent";#N/A,#N/A,FALSE,"Raritan";#N/A,#N/A,FALSE,"UK";#N/A,#N/A,FALSE,"Germany"}</definedName>
    <definedName name="asdfasd" hidden="1">{#N/A,#N/A,FALSE,"Consol.";#N/A,#N/A,FALSE,"EM";#N/A,#N/A,FALSE,"Reagent";#N/A,#N/A,FALSE,"Raritan";#N/A,#N/A,FALSE,"UK";#N/A,#N/A,FALSE,"Germany"}</definedName>
    <definedName name="asdfasdf"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asdfasdf"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asdfasdf1" localSheetId="6" hidden="1">{"Annual",#N/A,FALSE,"Sales &amp; Market";"Quarterly",#N/A,FALSE,"Sales &amp; Market"}</definedName>
    <definedName name="asdfasdf1" hidden="1">{"Annual",#N/A,FALSE,"Sales &amp; Market";"Quarterly",#N/A,FALSE,"Sales &amp; Market"}</definedName>
    <definedName name="asdfdsf" localSheetId="6" hidden="1">{#N/A,#N/A,FALSE,"Consol.";#N/A,#N/A,FALSE,"Roch-EM";#N/A,#N/A,FALSE,"Reagents";#N/A,#N/A,FALSE,"Cardiff";#N/A,#N/A,FALSE,"Germany";#N/A,#N/A,FALSE,"Raitan";#N/A,#N/A,FALSE,"CTS";#N/A,#N/A,FALSE,"IM";#N/A,#N/A,FALSE,"Quality";#N/A,#N/A,FALSE,"Logistics"}</definedName>
    <definedName name="asdfdsf" hidden="1">{#N/A,#N/A,FALSE,"Consol.";#N/A,#N/A,FALSE,"Roch-EM";#N/A,#N/A,FALSE,"Reagents";#N/A,#N/A,FALSE,"Cardiff";#N/A,#N/A,FALSE,"Germany";#N/A,#N/A,FALSE,"Raitan";#N/A,#N/A,FALSE,"CTS";#N/A,#N/A,FALSE,"IM";#N/A,#N/A,FALSE,"Quality";#N/A,#N/A,FALSE,"Logistics"}</definedName>
    <definedName name="asdfsdf" localSheetId="6" hidden="1">{"Annual",#N/A,FALSE,"Sales &amp; Market";"Quarterly",#N/A,FALSE,"Sales &amp; Market"}</definedName>
    <definedName name="asdfsdf" hidden="1">{"Annual",#N/A,FALSE,"Sales &amp; Market";"Quarterly",#N/A,FALSE,"Sales &amp; Market"}</definedName>
    <definedName name="asdfsdf1" localSheetId="6" hidden="1">{"Annual",#N/A,FALSE,"Sales &amp; Market";"Quarterly",#N/A,FALSE,"Sales &amp; Market"}</definedName>
    <definedName name="asdfsdf1" hidden="1">{"Annual",#N/A,FALSE,"Sales &amp; Market";"Quarterly",#N/A,FALSE,"Sales &amp; Market"}</definedName>
    <definedName name="auxiliar">#REF!</definedName>
    <definedName name="av">#REF!</definedName>
    <definedName name="Avg_Weeks_in_month">52/12</definedName>
    <definedName name="AvgConcurrency">#REF!</definedName>
    <definedName name="awsqwe" localSheetId="6" hidden="1">{#N/A,#N/A,FALSE,"Consol.";#N/A,#N/A,FALSE,"Roch-EM";#N/A,#N/A,FALSE,"Reagents";#N/A,#N/A,FALSE,"Cardiff";#N/A,#N/A,FALSE,"Germany";#N/A,#N/A,FALSE,"Raitan";#N/A,#N/A,FALSE,"CTS";#N/A,#N/A,FALSE,"IM";#N/A,#N/A,FALSE,"Quality";#N/A,#N/A,FALSE,"Logistics"}</definedName>
    <definedName name="awsqwe" hidden="1">{#N/A,#N/A,FALSE,"Consol.";#N/A,#N/A,FALSE,"Roch-EM";#N/A,#N/A,FALSE,"Reagents";#N/A,#N/A,FALSE,"Cardiff";#N/A,#N/A,FALSE,"Germany";#N/A,#N/A,FALSE,"Raitan";#N/A,#N/A,FALSE,"CTS";#N/A,#N/A,FALSE,"IM";#N/A,#N/A,FALSE,"Quality";#N/A,#N/A,FALSE,"Logistics"}</definedName>
    <definedName name="b">#REF!</definedName>
    <definedName name="Badge_Type">#REF!</definedName>
    <definedName name="Bal_Sheet_99_01">#REF!</definedName>
    <definedName name="balance">#REF!</definedName>
    <definedName name="bandedstaff">#REF!</definedName>
    <definedName name="bandedstaffdescriptions">#REF!</definedName>
    <definedName name="BandMappings">#REF!</definedName>
    <definedName name="BandMappingsLookup">#REF!</definedName>
    <definedName name="bandrates" localSheetId="6">OFFSET(BPMSFieldNames, 1, 0, BPMSRecordCount, COLUMNS(!BPMSFieldNames))</definedName>
    <definedName name="bandrates">OFFSET(BPMSFieldNames, 1, 0, BPMSRecordCount, COLUMNS(!BPMSFieldNames))</definedName>
    <definedName name="Baseline">#REF!</definedName>
    <definedName name="bbbbbbbb" localSheetId="6" hidden="1">{#N/A,#N/A,FALSE,"Consol.";#N/A,#N/A,FALSE,"EM";#N/A,#N/A,FALSE,"Reagent";#N/A,#N/A,FALSE,"Raritan";#N/A,#N/A,FALSE,"UK";#N/A,#N/A,FALSE,"Germany"}</definedName>
    <definedName name="bbbbbbbb" hidden="1">{#N/A,#N/A,FALSE,"Consol.";#N/A,#N/A,FALSE,"EM";#N/A,#N/A,FALSE,"Reagent";#N/A,#N/A,FALSE,"Raritan";#N/A,#N/A,FALSE,"UK";#N/A,#N/A,FALSE,"Germany"}</definedName>
    <definedName name="BCSKatz">#REF!</definedName>
    <definedName name="BD">#REF!</definedName>
    <definedName name="Benefit_New">#REF!</definedName>
    <definedName name="bi">#REF!</definedName>
    <definedName name="BIL">#REF!</definedName>
    <definedName name="BLCountries">#REF!</definedName>
    <definedName name="blended">#REF!</definedName>
    <definedName name="BLLocations">#REF!</definedName>
    <definedName name="bmkBaselineCosts">#REF!</definedName>
    <definedName name="bmkBaselineFTEs">#REF!</definedName>
    <definedName name="bmkBaselineMetrics">#REF!</definedName>
    <definedName name="bmkDeliveryCentres">#REF!</definedName>
    <definedName name="bmkDeliveryTeams">#REF!</definedName>
    <definedName name="bmkRefineTransition">#REF!</definedName>
    <definedName name="bmkSolutionDefaults">#REF!</definedName>
    <definedName name="bmkTransitionGroup">#REF!</definedName>
    <definedName name="bmkTransitionSchedule">#REF!</definedName>
    <definedName name="bmkTransitionTeam">#REF!</definedName>
    <definedName name="BMWBenchmarks">#REF!</definedName>
    <definedName name="bob">#REF!</definedName>
    <definedName name="BOZ">#REF!</definedName>
    <definedName name="BPMSBandsFiltered">#REF!</definedName>
    <definedName name="BPMSData" localSheetId="6">OFFSET(BPMSFieldNames, 1, 0, BPMSRecordCount, COLUMNS(!BPMSFieldNames))</definedName>
    <definedName name="BPMSData">OFFSET(BPMSFieldNames, 1, 0, BPMSRecordCount, COLUMNS(!BPMSFieldNames))</definedName>
    <definedName name="BPMSDataFilter" localSheetId="6">OFFSET(BPMSFieldNames, 0, 0, BPMSRecordCount, 1)</definedName>
    <definedName name="BPMSDataFilter">OFFSET(BPMSFieldNames, 0, 0, BPMSRecordCount, 1)</definedName>
    <definedName name="BPMSEmptyMsg">#REF!</definedName>
    <definedName name="BPMSFieldNames">#REF!</definedName>
    <definedName name="BPMSFilterCriteria">#REF!</definedName>
    <definedName name="BPMSLookUp" localSheetId="6">OFFSET(BPMSFieldNames, 1, 3, BPMSRecordCount, COLUMNS(BPMSFieldNames) - 3)</definedName>
    <definedName name="BPMSLookUp">OFFSET(BPMSFieldNames, 1, 3, BPMSRecordCount, COLUMNS(BPMSFieldNames) - 3)</definedName>
    <definedName name="BPMSRecordCount">#REF!</definedName>
    <definedName name="BPMSTmStmp">#REF!</definedName>
    <definedName name="Brightwell">#REF!</definedName>
    <definedName name="bs">#REF!</definedName>
    <definedName name="BTF">#REF!</definedName>
    <definedName name="BTOTTData" localSheetId="6">OFFSET(BTOTTFieldNames, 1, 0, BTOTTRecordCount, COLUMNS(BTOTTFieldNames))</definedName>
    <definedName name="BTOTTData">OFFSET(BTOTTFieldNames, 1, 0, BTOTTRecordCount, COLUMNS(BTOTTFieldNames))</definedName>
    <definedName name="BTOTTLookUp" localSheetId="6">OFFSET(BTOTTFieldNames, 1, 3, BTOTTRecordCount, COLUMNS(BTOTTFieldNames) - 3)</definedName>
    <definedName name="BTOTTLookUp">OFFSET(BTOTTFieldNames, 1, 3, BTOTTRecordCount, COLUMNS(BTOTTFieldNames) - 3)</definedName>
    <definedName name="BUT">#REF!</definedName>
    <definedName name="C_10">#REF!</definedName>
    <definedName name="C_7">#REF!</definedName>
    <definedName name="C_8">#REF!</definedName>
    <definedName name="C_9">#REF!</definedName>
    <definedName name="C_D">#REF!</definedName>
    <definedName name="CapVersionNum">#REF!</definedName>
    <definedName name="CAR">#REF!</definedName>
    <definedName name="CAS">#REF!</definedName>
    <definedName name="casdfasdf">#REF!</definedName>
    <definedName name="CASHEQUIV">#REF!</definedName>
    <definedName name="category">#REF!</definedName>
    <definedName name="CBWorkbookPriority" hidden="1">-1887508681</definedName>
    <definedName name="cc" localSheetId="6" hidden="1">{#N/A,#N/A,FALSE,"Consol.";#N/A,#N/A,FALSE,"EM";#N/A,#N/A,FALSE,"Reagent";#N/A,#N/A,FALSE,"Raritan";#N/A,#N/A,FALSE,"UK";#N/A,#N/A,FALSE,"Germany"}</definedName>
    <definedName name="cc" hidden="1">{#N/A,#N/A,FALSE,"Consol.";#N/A,#N/A,FALSE,"EM";#N/A,#N/A,FALSE,"Reagent";#N/A,#N/A,FALSE,"Raritan";#N/A,#N/A,FALSE,"UK";#N/A,#N/A,FALSE,"Germany"}</definedName>
    <definedName name="ccc" localSheetId="6" hidden="1">{#N/A,#N/A,FALSE,"Consol.";#N/A,#N/A,FALSE,"EM";#N/A,#N/A,FALSE,"Reagents";#N/A,#N/A,FALSE,"UK";#N/A,#N/A,FALSE,"Raritan";#N/A,#N/A,FALSE,"Germany"}</definedName>
    <definedName name="ccc" hidden="1">{#N/A,#N/A,FALSE,"Consol.";#N/A,#N/A,FALSE,"EM";#N/A,#N/A,FALSE,"Reagents";#N/A,#N/A,FALSE,"UK";#N/A,#N/A,FALSE,"Raritan";#N/A,#N/A,FALSE,"Germany"}</definedName>
    <definedName name="ccccc"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ccccc"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ccccccc" localSheetId="6" hidden="1">{#N/A,#N/A,FALSE,"Consol.";#N/A,#N/A,FALSE,"EM";#N/A,#N/A,FALSE,"Reagent";#N/A,#N/A,FALSE,"Raritan";#N/A,#N/A,FALSE,"UK";#N/A,#N/A,FALSE,"Germany"}</definedName>
    <definedName name="ccccccc" hidden="1">{#N/A,#N/A,FALSE,"Consol.";#N/A,#N/A,FALSE,"EM";#N/A,#N/A,FALSE,"Reagent";#N/A,#N/A,FALSE,"Raritan";#N/A,#N/A,FALSE,"UK";#N/A,#N/A,FALSE,"Germany"}</definedName>
    <definedName name="CCI">#REF!</definedName>
    <definedName name="Channels_AddSetupFee_Calls">#REF!</definedName>
    <definedName name="Channels_AddSetupFee_Chats">#REF!</definedName>
    <definedName name="Channels_AddSetupFee_Emails">#REF!</definedName>
    <definedName name="Channels_AddSetupFee_Other1">#REF!</definedName>
    <definedName name="Channels_AddSetupFee_Other2">#REF!</definedName>
    <definedName name="Channels_AddSetupFee_Other3">#REF!</definedName>
    <definedName name="Channels_AddSetupFee_SMS">#REF!</definedName>
    <definedName name="Channels_AddSetupFee_Surveys">#REF!</definedName>
    <definedName name="Channels_CallRecordingPerc">#REF!</definedName>
    <definedName name="Channels_IngestionRate_Calls">#REF!</definedName>
    <definedName name="Channels_IngestionRate_Chats">#REF!</definedName>
    <definedName name="Channels_IngestionRate_Emails">#REF!</definedName>
    <definedName name="Channels_IngestionRate_Other1">#REF!</definedName>
    <definedName name="Channels_IngestionRate_Other2">#REF!</definedName>
    <definedName name="Channels_IngestionRate_Other3">#REF!</definedName>
    <definedName name="Channels_IngestionRate_SMS">#REF!</definedName>
    <definedName name="Channels_IngestionRate_Surveys">#REF!</definedName>
    <definedName name="Channels_Name_Other1">#REF!</definedName>
    <definedName name="Channels_Name_Other2">#REF!</definedName>
    <definedName name="Channels_Name_Other3">#REF!</definedName>
    <definedName name="Channels_RecordingSource_Call">#REF!</definedName>
    <definedName name="Channels_RecordingSource_Chat">#REF!</definedName>
    <definedName name="Channels_RecordingSource_Email">#REF!</definedName>
    <definedName name="Channels_RecordingSource_Other1">#REF!</definedName>
    <definedName name="Channels_RecordingSource_Other2">#REF!</definedName>
    <definedName name="Channels_RecordingSource_Other3">#REF!</definedName>
    <definedName name="Channels_RecordingSource_SMS">#REF!</definedName>
    <definedName name="Channels_RecordingSource_Surveys">#REF!</definedName>
    <definedName name="Channels_Use_Chat">#REF!</definedName>
    <definedName name="Channels_Use_Email">#REF!</definedName>
    <definedName name="Channels_Use_Other1">#REF!</definedName>
    <definedName name="Channels_Use_Other2">#REF!</definedName>
    <definedName name="Channels_Use_Other3">#REF!</definedName>
    <definedName name="Channels_Use_SMS">#REF!</definedName>
    <definedName name="Channels_Use_Surveys">#REF!</definedName>
    <definedName name="Channels_Use_Voice">#REF!</definedName>
    <definedName name="Channels_UseAHT_Chat">#REF!</definedName>
    <definedName name="Channels_UseAHT_Email">#REF!</definedName>
    <definedName name="Channels_UseAHT_Other1">#REF!</definedName>
    <definedName name="Channels_UseAHT_Other2">#REF!</definedName>
    <definedName name="Channels_UseAHT_Other3">#REF!</definedName>
    <definedName name="Channels_UseAHT_SMS">#REF!</definedName>
    <definedName name="Channels_UseAHT_Surveys">#REF!</definedName>
    <definedName name="chart">#REF!</definedName>
    <definedName name="CLF">#REF!</definedName>
    <definedName name="Client_SharedBenefit_Percent">#REF!</definedName>
    <definedName name="ClientIntEnd">#REF!</definedName>
    <definedName name="clientN">#REF!</definedName>
    <definedName name="ClientName">#REF!</definedName>
    <definedName name="clientP">#REF!</definedName>
    <definedName name="Code1">#REF!</definedName>
    <definedName name="Code2">#REF!</definedName>
    <definedName name="Compatibility_Fix_TextJoin_DistinctLanguages">#REF!</definedName>
    <definedName name="Compatibility_Fix_TextJoin_Security">#REF!</definedName>
    <definedName name="Compatibility_Fix_TextJoin_TPLanguages">#REF!</definedName>
    <definedName name="Compatibility_Fix_TextJoin_TPLocations">#REF!</definedName>
    <definedName name="Compatibility_Fix_TextJoin_VolumesDepts">#REF!</definedName>
    <definedName name="Compatibility_Fix_TextJoin_VolumesLanguages">#REF!</definedName>
    <definedName name="Compatibility_Fix_TextJoin_VolumesLOBs">#REF!</definedName>
    <definedName name="Compatibility_Fix_TextJoin_VolumesLocations">#REF!</definedName>
    <definedName name="Compatibility_Fix_TextJoin_VolumesTiers">#REF!</definedName>
    <definedName name="Compatibility_Name_Security">#REF!</definedName>
    <definedName name="Compatibility_TextJoin">#REF!</definedName>
    <definedName name="Compliant">#REF!</definedName>
    <definedName name="Config_AICategoryDevelopment">#REF!</definedName>
    <definedName name="Config_AllowSMB">#REF!</definedName>
    <definedName name="Config_Apps">#REF!</definedName>
    <definedName name="Config_Bandwidth">#REF!</definedName>
    <definedName name="Config_CallRecordingPerc">#REF!</definedName>
    <definedName name="Config_Client">#REF!</definedName>
    <definedName name="Config_Costs_CallMinerRetention">#REF!</definedName>
    <definedName name="Config_Costs_CrossCharge">#REF!</definedName>
    <definedName name="Config_Costs_Other">#REF!</definedName>
    <definedName name="Config_Costs_Travel">#REF!</definedName>
    <definedName name="Config_EncryptionAtRest">#REF!</definedName>
    <definedName name="Config_ExtraLanguages">#REF!</definedName>
    <definedName name="Config_IngestionRate_Calls">#REF!</definedName>
    <definedName name="Config_IngestionRate_Chats">#REF!</definedName>
    <definedName name="Config_IngestionRate_Emails">#REF!</definedName>
    <definedName name="Config_IPWhitelisting">#REF!</definedName>
    <definedName name="Config_LanguagePack">#REF!</definedName>
    <definedName name="Config_MarginTarget">#REF!</definedName>
    <definedName name="Config_OrecX_ASA">#REF!</definedName>
    <definedName name="Config_OrecX_CallRecordingStorage">#REF!</definedName>
    <definedName name="Config_OrecX_CR">#REF!</definedName>
    <definedName name="Config_OrecX_CRCustomPrice">#REF!</definedName>
    <definedName name="Config_OrecX_Desktops">#REF!</definedName>
    <definedName name="Config_OrecX_Extensions">#REF!</definedName>
    <definedName name="Config_OrecX_SC">#REF!</definedName>
    <definedName name="Config_OrecX_SCCustomPrice">#REF!</definedName>
    <definedName name="Config_OrecX_Setup">#REF!</definedName>
    <definedName name="Config_OrecX_TR">#REF!</definedName>
    <definedName name="Config_OrecX_TRCustomPrice">#REF!</definedName>
    <definedName name="Config_OrecX_YAdapter">#REF!</definedName>
    <definedName name="Config_RPASetupFee">#REF!</definedName>
    <definedName name="Config_ServiceScope">#REF!</definedName>
    <definedName name="Config_SpeakerSeparation">#REF!</definedName>
    <definedName name="Config_SSO">#REF!</definedName>
    <definedName name="Config_StereoLicense">#REF!</definedName>
    <definedName name="Config_Term">#REF!</definedName>
    <definedName name="Config_TFA">#REF!</definedName>
    <definedName name="Config_TPAsia">#REF!</definedName>
    <definedName name="Config_UseChat">#REF!</definedName>
    <definedName name="Config_UseEmail">#REF!</definedName>
    <definedName name="Config_UseVoice">#REF!</definedName>
    <definedName name="Conservative">#REF!</definedName>
    <definedName name="CONT">#REF!</definedName>
    <definedName name="CONTAMS">#REF!</definedName>
    <definedName name="CONTBCS">#REF!</definedName>
    <definedName name="CONTCT">#REF!</definedName>
    <definedName name="CONTHD">#REF!</definedName>
    <definedName name="CONTIBMHW">#REF!</definedName>
    <definedName name="CONTIBMSW">#REF!</definedName>
    <definedName name="CONTMR">#REF!</definedName>
    <definedName name="CONTNS">#REF!</definedName>
    <definedName name="CONTOEMHW">#REF!</definedName>
    <definedName name="CONTOEMSW">#REF!</definedName>
    <definedName name="contractors">#REF!</definedName>
    <definedName name="contractorsdescriptions">#REF!</definedName>
    <definedName name="CONTSUB">#REF!</definedName>
    <definedName name="CONTTRAV">#REF!</definedName>
    <definedName name="Cost_Centers">#REF!</definedName>
    <definedName name="CostDefs">#REF!</definedName>
    <definedName name="CPI">#REF!</definedName>
    <definedName name="CritO">#REF!</definedName>
    <definedName name="CRMAS">#REF!</definedName>
    <definedName name="currencies">#REF!</definedName>
    <definedName name="currencies000s">#REF!</definedName>
    <definedName name="Currency">#REF!</definedName>
    <definedName name="CurrencyList">#REF!</definedName>
    <definedName name="CurrencyTble">#REF!</definedName>
    <definedName name="CustomIntegrationDFW">#REF!</definedName>
    <definedName name="CYV">#REF!</definedName>
    <definedName name="d"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afd" localSheetId="6" hidden="1">{#N/A,#N/A,FALSE,"Consol.";#N/A,#N/A,FALSE,"EM";#N/A,#N/A,FALSE,"Reagent";#N/A,#N/A,FALSE,"Raritan";#N/A,#N/A,FALSE,"UK";#N/A,#N/A,FALSE,"Germany"}</definedName>
    <definedName name="dafd" hidden="1">{#N/A,#N/A,FALSE,"Consol.";#N/A,#N/A,FALSE,"EM";#N/A,#N/A,FALSE,"Reagent";#N/A,#N/A,FALSE,"Raritan";#N/A,#N/A,FALSE,"UK";#N/A,#N/A,FALSE,"Germany"}</definedName>
    <definedName name="DailyHires">OFFSET(#REF!,0,0,COUNTA(#REF!),55)</definedName>
    <definedName name="data" hidden="1">#REF!</definedName>
    <definedName name="Data1" localSheetId="6" hidden="1">{#N/A,#N/A,FALSE,"Sales"}</definedName>
    <definedName name="Data1" hidden="1">{#N/A,#N/A,FALSE,"Sales"}</definedName>
    <definedName name="Data116" localSheetId="6" hidden="1">{#N/A,#N/A,FALSE,"Sales"}</definedName>
    <definedName name="Data116" hidden="1">{#N/A,#N/A,FALSE,"Sales"}</definedName>
    <definedName name="Data16" localSheetId="6" hidden="1">{#N/A,#N/A,FALSE,"Sales"}</definedName>
    <definedName name="Data16" hidden="1">{#N/A,#N/A,FALSE,"Sales"}</definedName>
    <definedName name="Data2" localSheetId="6" hidden="1">{#N/A,#N/A,FALSE,"Sales"}</definedName>
    <definedName name="Data2" hidden="1">{#N/A,#N/A,FALSE,"Sales"}</definedName>
    <definedName name="DBTACCTSADV">#REF!</definedName>
    <definedName name="DCdollars">#REF!</definedName>
    <definedName name="dd" localSheetId="6" hidden="1">{#N/A,#N/A,FALSE,"Consol.";#N/A,#N/A,FALSE,"EM";#N/A,#N/A,FALSE,"Reagent";#N/A,#N/A,FALSE,"Raritan";#N/A,#N/A,FALSE,"UK";#N/A,#N/A,FALSE,"Germany"}</definedName>
    <definedName name="dd" hidden="1">{#N/A,#N/A,FALSE,"Consol.";#N/A,#N/A,FALSE,"EM";#N/A,#N/A,FALSE,"Reagent";#N/A,#N/A,FALSE,"Raritan";#N/A,#N/A,FALSE,"UK";#N/A,#N/A,FALSE,"Germany"}</definedName>
    <definedName name="ddd" localSheetId="6" hidden="1">{#N/A,#N/A,FALSE,"Consol.";#N/A,#N/A,FALSE,"EM";#N/A,#N/A,FALSE,"Reagent";#N/A,#N/A,FALSE,"Raritan";#N/A,#N/A,FALSE,"UK";#N/A,#N/A,FALSE,"Germany"}</definedName>
    <definedName name="ddd" hidden="1">{#N/A,#N/A,FALSE,"Consol.";#N/A,#N/A,FALSE,"EM";#N/A,#N/A,FALSE,"Reagent";#N/A,#N/A,FALSE,"Raritan";#N/A,#N/A,FALSE,"UK";#N/A,#N/A,FALSE,"Germany"}</definedName>
    <definedName name="dddd" localSheetId="6" hidden="1">{#N/A,#N/A,FALSE,"Consol.";#N/A,#N/A,FALSE,"EM";#N/A,#N/A,FALSE,"Reagent";#N/A,#N/A,FALSE,"Raritan";#N/A,#N/A,FALSE,"UK";#N/A,#N/A,FALSE,"Germany"}</definedName>
    <definedName name="dddd" hidden="1">{#N/A,#N/A,FALSE,"Consol.";#N/A,#N/A,FALSE,"EM";#N/A,#N/A,FALSE,"Reagent";#N/A,#N/A,FALSE,"Raritan";#N/A,#N/A,FALSE,"UK";#N/A,#N/A,FALSE,"Germany"}</definedName>
    <definedName name="debt" localSheetId="6" hidden="1">{"Annual",#N/A,FALSE,"Sales &amp; Market";"Quarterly",#N/A,FALSE,"Sales &amp; Market"}</definedName>
    <definedName name="debt" hidden="1">{"Annual",#N/A,FALSE,"Sales &amp; Market";"Quarterly",#N/A,FALSE,"Sales &amp; Market"}</definedName>
    <definedName name="debt1" localSheetId="6" hidden="1">{"Annual",#N/A,FALSE,"Sales &amp; Market";"Quarterly",#N/A,FALSE,"Sales &amp; Market"}</definedName>
    <definedName name="debt1" hidden="1">{"Annual",#N/A,FALSE,"Sales &amp; Market";"Quarterly",#N/A,FALSE,"Sales &amp; Market"}</definedName>
    <definedName name="DEFREV">#REF!</definedName>
    <definedName name="DEFRVLT">#REF!</definedName>
    <definedName name="DeliveryBands">#REF!</definedName>
    <definedName name="DeliveryCentres">#REF!</definedName>
    <definedName name="DeliveryProfiles">#REF!</definedName>
    <definedName name="DeliveryTeams">#REF!</definedName>
    <definedName name="df" localSheetId="6" hidden="1">{#N/A,#N/A,FALSE,"Consol.";#N/A,#N/A,FALSE,"EM";#N/A,#N/A,FALSE,"Reagents";#N/A,#N/A,FALSE,"UK";#N/A,#N/A,FALSE,"Raritan";#N/A,#N/A,FALSE,"Germany"}</definedName>
    <definedName name="df" hidden="1">{#N/A,#N/A,FALSE,"Consol.";#N/A,#N/A,FALSE,"EM";#N/A,#N/A,FALSE,"Reagents";#N/A,#N/A,FALSE,"UK";#N/A,#N/A,FALSE,"Raritan";#N/A,#N/A,FALSE,"Germany"}</definedName>
    <definedName name="dfa" localSheetId="6" hidden="1">{#N/A,#N/A,FALSE,"Consol.";#N/A,#N/A,FALSE,"EM";#N/A,#N/A,FALSE,"Reagents";#N/A,#N/A,FALSE,"UK";#N/A,#N/A,FALSE,"Raritan";#N/A,#N/A,FALSE,"Germany"}</definedName>
    <definedName name="dfa" hidden="1">{#N/A,#N/A,FALSE,"Consol.";#N/A,#N/A,FALSE,"EM";#N/A,#N/A,FALSE,"Reagents";#N/A,#N/A,FALSE,"UK";#N/A,#N/A,FALSE,"Raritan";#N/A,#N/A,FALSE,"Germany"}</definedName>
    <definedName name="dfas" localSheetId="6" hidden="1">{#N/A,#N/A,FALSE,"Consol.";#N/A,#N/A,FALSE,"EM";#N/A,#N/A,FALSE,"Reagent";#N/A,#N/A,FALSE,"Raritan";#N/A,#N/A,FALSE,"UK";#N/A,#N/A,FALSE,"Germany"}</definedName>
    <definedName name="dfas" hidden="1">{#N/A,#N/A,FALSE,"Consol.";#N/A,#N/A,FALSE,"EM";#N/A,#N/A,FALSE,"Reagent";#N/A,#N/A,FALSE,"Raritan";#N/A,#N/A,FALSE,"UK";#N/A,#N/A,FALSE,"Germany"}</definedName>
    <definedName name="dfasdf" localSheetId="6" hidden="1">{#N/A,#N/A,FALSE,"Consol.";#N/A,#N/A,FALSE,"EM";#N/A,#N/A,FALSE,"Reagent";#N/A,#N/A,FALSE,"Raritan";#N/A,#N/A,FALSE,"UK";#N/A,#N/A,FALSE,"Germany"}</definedName>
    <definedName name="dfasdf" hidden="1">{#N/A,#N/A,FALSE,"Consol.";#N/A,#N/A,FALSE,"EM";#N/A,#N/A,FALSE,"Reagent";#N/A,#N/A,FALSE,"Raritan";#N/A,#N/A,FALSE,"UK";#N/A,#N/A,FALSE,"Germany"}</definedName>
    <definedName name="dfasdfdasfd" localSheetId="6" hidden="1">{#N/A,#N/A,FALSE,"Consol.";#N/A,#N/A,FALSE,"EM";#N/A,#N/A,FALSE,"Reagent";#N/A,#N/A,FALSE,"Raritan";#N/A,#N/A,FALSE,"UK";#N/A,#N/A,FALSE,"Germany"}</definedName>
    <definedName name="dfasdfdasfd" hidden="1">{#N/A,#N/A,FALSE,"Consol.";#N/A,#N/A,FALSE,"EM";#N/A,#N/A,FALSE,"Reagent";#N/A,#N/A,FALSE,"Raritan";#N/A,#N/A,FALSE,"UK";#N/A,#N/A,FALSE,"Germany"}</definedName>
    <definedName name="dfdad"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fdad"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H">OFFSET(#REF!,0,0,COUNTA(#REF!),COUNTA(#REF!))</definedName>
    <definedName name="disc">#REF!</definedName>
    <definedName name="dsa"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sa"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sdflkdslk"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sdflkdslk"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sfa"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dsfa"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dsfas" localSheetId="6" hidden="1">{#N/A,#N/A,FALSE,"Consol.";#N/A,#N/A,FALSE,"EM";#N/A,#N/A,FALSE,"Reagents";#N/A,#N/A,FALSE,"UK";#N/A,#N/A,FALSE,"Raritan";#N/A,#N/A,FALSE,"Germany"}</definedName>
    <definedName name="dsfas" hidden="1">{#N/A,#N/A,FALSE,"Consol.";#N/A,#N/A,FALSE,"EM";#N/A,#N/A,FALSE,"Reagents";#N/A,#N/A,FALSE,"UK";#N/A,#N/A,FALSE,"Raritan";#N/A,#N/A,FALSE,"Germany"}</definedName>
    <definedName name="dsfasdf" localSheetId="6" hidden="1">{#N/A,#N/A,FALSE,"Consol.";#N/A,#N/A,FALSE,"Roch-EM";#N/A,#N/A,FALSE,"Reagents";#N/A,#N/A,FALSE,"Cardiff";#N/A,#N/A,FALSE,"Germany";#N/A,#N/A,FALSE,"Raitan";#N/A,#N/A,FALSE,"CTS";#N/A,#N/A,FALSE,"IM";#N/A,#N/A,FALSE,"Quality";#N/A,#N/A,FALSE,"Logistics"}</definedName>
    <definedName name="dsfasdf" hidden="1">{#N/A,#N/A,FALSE,"Consol.";#N/A,#N/A,FALSE,"Roch-EM";#N/A,#N/A,FALSE,"Reagents";#N/A,#N/A,FALSE,"Cardiff";#N/A,#N/A,FALSE,"Germany";#N/A,#N/A,FALSE,"Raitan";#N/A,#N/A,FALSE,"CTS";#N/A,#N/A,FALSE,"IM";#N/A,#N/A,FALSE,"Quality";#N/A,#N/A,FALSE,"Logistics"}</definedName>
    <definedName name="dsnjkfds"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snjkfds"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DTH">#REF!</definedName>
    <definedName name="Duration">#REF!</definedName>
    <definedName name="DurationUnit">#REF!</definedName>
    <definedName name="durationyears">#REF!</definedName>
    <definedName name="eee" localSheetId="6" hidden="1">{#N/A,#N/A,FALSE,"Consol.";#N/A,#N/A,FALSE,"EM";#N/A,#N/A,FALSE,"Reagents";#N/A,#N/A,FALSE,"UK";#N/A,#N/A,FALSE,"Raritan";#N/A,#N/A,FALSE,"Germany"}</definedName>
    <definedName name="eee" hidden="1">{#N/A,#N/A,FALSE,"Consol.";#N/A,#N/A,FALSE,"EM";#N/A,#N/A,FALSE,"Reagents";#N/A,#N/A,FALSE,"UK";#N/A,#N/A,FALSE,"Raritan";#N/A,#N/A,FALSE,"Germany"}</definedName>
    <definedName name="EERECV">#REF!</definedName>
    <definedName name="EEWITH">#REF!</definedName>
    <definedName name="eg" localSheetId="6" hidden="1">{#N/A,#N/A,FALSE,"Consol.";#N/A,#N/A,FALSE,"EM";#N/A,#N/A,FALSE,"Reagents";#N/A,#N/A,FALSE,"UK";#N/A,#N/A,FALSE,"Raritan";#N/A,#N/A,FALSE,"Germany"}</definedName>
    <definedName name="eg" hidden="1">{#N/A,#N/A,FALSE,"Consol.";#N/A,#N/A,FALSE,"EM";#N/A,#N/A,FALSE,"Reagents";#N/A,#N/A,FALSE,"UK";#N/A,#N/A,FALSE,"Raritan";#N/A,#N/A,FALSE,"Germany"}</definedName>
    <definedName name="EH">#REF!</definedName>
    <definedName name="EnableXLNavigation">#REF!</definedName>
    <definedName name="End">#REF!</definedName>
    <definedName name="entry1" localSheetId="6" hidden="1">{#N/A,#N/A,FALSE,"Sales"}</definedName>
    <definedName name="entry1" hidden="1">{#N/A,#N/A,FALSE,"Sales"}</definedName>
    <definedName name="ER">OFFSET(#REF!,0,0,COUNTA(#REF!),COUNTA(#REF!))</definedName>
    <definedName name="EssAliasTable">"Default"</definedName>
    <definedName name="EssOptions">"2100000010120000_01000"</definedName>
    <definedName name="Euro">#REF!</definedName>
    <definedName name="EURO___USD">#REF!</definedName>
    <definedName name="ew"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ew"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EXCED.">#REF!</definedName>
    <definedName name="exhibits1" localSheetId="6"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ibits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YMPED">#REF!</definedName>
    <definedName name="EYMPEE">#REF!</definedName>
    <definedName name="EYMPEP">#REF!</definedName>
    <definedName name="f" localSheetId="6" hidden="1">{#N/A,#N/A,FALSE,"Consol.";#N/A,#N/A,FALSE,"EM";#N/A,#N/A,FALSE,"Reagent";#N/A,#N/A,FALSE,"Raritan";#N/A,#N/A,FALSE,"UK";#N/A,#N/A,FALSE,"Germany"}</definedName>
    <definedName name="f" hidden="1">{#N/A,#N/A,FALSE,"Consol.";#N/A,#N/A,FALSE,"EM";#N/A,#N/A,FALSE,"Reagent";#N/A,#N/A,FALSE,"Raritan";#N/A,#N/A,FALSE,"UK";#N/A,#N/A,FALSE,"Germany"}</definedName>
    <definedName name="fasdfas" localSheetId="6" hidden="1">{#N/A,#N/A,FALSE,"Consol.";#N/A,#N/A,FALSE,"EM";#N/A,#N/A,FALSE,"Reagents";#N/A,#N/A,FALSE,"UK";#N/A,#N/A,FALSE,"Raritan";#N/A,#N/A,FALSE,"Germany"}</definedName>
    <definedName name="fasdfas" hidden="1">{#N/A,#N/A,FALSE,"Consol.";#N/A,#N/A,FALSE,"EM";#N/A,#N/A,FALSE,"Reagents";#N/A,#N/A,FALSE,"UK";#N/A,#N/A,FALSE,"Raritan";#N/A,#N/A,FALSE,"Germany"}</definedName>
    <definedName name="fdsf"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fdsf"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fdsfasd"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fdsfasd"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ff"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ff"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fff" localSheetId="6" hidden="1">{#N/A,#N/A,FALSE,"Consol.";#N/A,#N/A,FALSE,"Roch-EM";#N/A,#N/A,FALSE,"Reagents";#N/A,#N/A,FALSE,"Cardiff";#N/A,#N/A,FALSE,"Germany";#N/A,#N/A,FALSE,"Raitan";#N/A,#N/A,FALSE,"CTS";#N/A,#N/A,FALSE,"IM";#N/A,#N/A,FALSE,"Quality";#N/A,#N/A,FALSE,"Logistics"}</definedName>
    <definedName name="fff" hidden="1">{#N/A,#N/A,FALSE,"Consol.";#N/A,#N/A,FALSE,"Roch-EM";#N/A,#N/A,FALSE,"Reagents";#N/A,#N/A,FALSE,"Cardiff";#N/A,#N/A,FALSE,"Germany";#N/A,#N/A,FALSE,"Raitan";#N/A,#N/A,FALSE,"CTS";#N/A,#N/A,FALSE,"IM";#N/A,#N/A,FALSE,"Quality";#N/A,#N/A,FALSE,"Logistics"}</definedName>
    <definedName name="fffff"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fffff"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fifty">#REF!</definedName>
    <definedName name="FIJA">#REF!</definedName>
    <definedName name="final">#REF!</definedName>
    <definedName name="Financial">#REF!</definedName>
    <definedName name="Financialreportingitem">#REF!</definedName>
    <definedName name="FNS">OFFSET(#REF!,0,0,COUNTA(#REF!),COUNTA(#REF!))</definedName>
    <definedName name="FOOT_TRAFFIC">OFFSET(#REF!,0,0,COUNTA(#REF!),9)</definedName>
    <definedName name="FootnoteStart">#REF!</definedName>
    <definedName name="Formulas_AHT_Calls">#REF!</definedName>
    <definedName name="Formulas_ChannelCount">#REF!</definedName>
    <definedName name="Formulas_Costs_CallIngestion">#REF!</definedName>
    <definedName name="Formulas_Costs_ChatIngestion">#REF!</definedName>
    <definedName name="Formulas_Costs_EmailIngestion">#REF!</definedName>
    <definedName name="Formulas_CXAndQA">#REF!</definedName>
    <definedName name="Formulas_Fees_AICategoryDevelopment">#REF!</definedName>
    <definedName name="Formulas_Fees_AudioHour">#REF!</definedName>
    <definedName name="Formulas_Fees_IngestionHour">#REF!</definedName>
    <definedName name="Formulas_Fees_Text">#REF!</definedName>
    <definedName name="Formulas_Fees_TPAsiaHour">#REF!</definedName>
    <definedName name="Formulas_Ingested_Calls">#REF!</definedName>
    <definedName name="Formulas_Ingested_Chats">#REF!</definedName>
    <definedName name="Formulas_Ingested_Emails">#REF!</definedName>
    <definedName name="Formulas_IngestedHours_Calls">#REF!</definedName>
    <definedName name="Formulas_IngestedHours_Chats">#REF!</definedName>
    <definedName name="Formulas_IngestedHours_Emails">#REF!</definedName>
    <definedName name="Formulas_IngestedHours_Other1">#REF!</definedName>
    <definedName name="Formulas_IngestedHours_Other2">#REF!</definedName>
    <definedName name="Formulas_IngestedHours_Other3">#REF!</definedName>
    <definedName name="Formulas_IngestedHours_SMS">#REF!</definedName>
    <definedName name="Formulas_IngestedHours_Surveys">#REF!</definedName>
    <definedName name="Formulas_IngestedHours_Total">#REF!</definedName>
    <definedName name="Formulas_IngestedVolumes_Call">#REF!</definedName>
    <definedName name="Formulas_IngestedVolumes_Chat">#REF!</definedName>
    <definedName name="Formulas_IngestedVolumes_Email">#REF!</definedName>
    <definedName name="Formulas_IngestedVolumes_Other1">#REF!</definedName>
    <definedName name="Formulas_IngestedVolumes_Other2">#REF!</definedName>
    <definedName name="Formulas_IngestedVolumes_Other3">#REF!</definedName>
    <definedName name="Formulas_IngestedVolumes_SMS">#REF!</definedName>
    <definedName name="Formulas_IngestedVolumes_Surveys">#REF!</definedName>
    <definedName name="Formulas_IngestionCosts_All">#REF!</definedName>
    <definedName name="Formulas_IngestionCosts_Calls">#REF!</definedName>
    <definedName name="Formulas_IngestionCosts_Chats">#REF!</definedName>
    <definedName name="Formulas_IngestionCosts_Emails">#REF!</definedName>
    <definedName name="Formulas_IngestionCosts_Other1">#REF!</definedName>
    <definedName name="Formulas_IngestionCosts_Other2">#REF!</definedName>
    <definedName name="Formulas_IngestionCosts_Other3">#REF!</definedName>
    <definedName name="Formulas_IngestionCosts_SMS">#REF!</definedName>
    <definedName name="Formulas_IngestionCosts_Surveys">#REF!</definedName>
    <definedName name="Formulas_IngestionCosts_TPAsia">#REF!</definedName>
    <definedName name="Formulas_List_Channels">#REF!</definedName>
    <definedName name="Formulas_List_Departments">#REF!</definedName>
    <definedName name="Formulas_List_LOBs">#REF!</definedName>
    <definedName name="Formulas_List_Security">#REF!</definedName>
    <definedName name="Formulas_List_SetupChannels">#REF!</definedName>
    <definedName name="Formulas_List_SiteLanguages">#REF!</definedName>
    <definedName name="Formulas_List_SiteLocations">#REF!</definedName>
    <definedName name="Formulas_List_Tiers">#REF!</definedName>
    <definedName name="Formulas_OrecX_ASAFee">#REF!</definedName>
    <definedName name="Formulas_OrecX_CallRecordingFee">#REF!</definedName>
    <definedName name="Formulas_OrecX_CRCost">#REF!</definedName>
    <definedName name="Formulas_OrecX_CRIndex">#REF!</definedName>
    <definedName name="Formulas_OrecX_SCCost">#REF!</definedName>
    <definedName name="Formulas_OrecX_SCIndex">#REF!</definedName>
    <definedName name="Formulas_OrecX_ServicesCount">#REF!</definedName>
    <definedName name="Formulas_OrecX_TotalSetupCost">#REF!</definedName>
    <definedName name="Formulas_OrecX_TRCost">#REF!</definedName>
    <definedName name="Formulas_OrecX_TRIndex">#REF!</definedName>
    <definedName name="Formulas_OrecX_UseASAFee">#REF!</definedName>
    <definedName name="Formulas_OrecX_YAdapterFee">#REF!</definedName>
    <definedName name="Formulas_RecordingSources_Call">#REF!</definedName>
    <definedName name="Formulas_RecordingSources_Chat">#REF!</definedName>
    <definedName name="Formulas_RecordingSources_Email">#REF!</definedName>
    <definedName name="Formulas_RecordingSources_Other1">#REF!</definedName>
    <definedName name="Formulas_RecordingSources_Other2">#REF!</definedName>
    <definedName name="Formulas_RecordingSources_Other3">#REF!</definedName>
    <definedName name="Formulas_RecordingSources_SMS">#REF!</definedName>
    <definedName name="Formulas_RecordingSources_Survey">#REF!</definedName>
    <definedName name="Formulas_SetupFees">#REF!</definedName>
    <definedName name="Formulas_ShowNames">#REF!</definedName>
    <definedName name="Formulas_SMBCost">#REF!</definedName>
    <definedName name="Formulas_TotalAgents">#REF!</definedName>
    <definedName name="Formulas_TotalHoursPerYear">#REF!</definedName>
    <definedName name="Formulas_Use_Calls">#REF!</definedName>
    <definedName name="Formulas_Use_Chats">#REF!</definedName>
    <definedName name="Formulas_Use_Emails">#REF!</definedName>
    <definedName name="Formulas_Use_Other1">#REF!</definedName>
    <definedName name="Formulas_Use_Other2">#REF!</definedName>
    <definedName name="Formulas_Use_Other3">#REF!</definedName>
    <definedName name="Formulas_Use_SMB">#REF!</definedName>
    <definedName name="Formulas_Use_SMS">#REF!</definedName>
    <definedName name="Formulas_Use_Surveys">#REF!</definedName>
    <definedName name="Formulas_Volumes_Call">#REF!</definedName>
    <definedName name="Formulas_Volumes_Chat">#REF!</definedName>
    <definedName name="Formulas_Volumes_Email">#REF!</definedName>
    <definedName name="forty">#REF!</definedName>
    <definedName name="FTE_Definition">#REF!</definedName>
    <definedName name="FTE_MonthlyHours">#REF!</definedName>
    <definedName name="FTEs">#REF!</definedName>
    <definedName name="fulltimestaff">#REF!</definedName>
    <definedName name="fulltimestaffdescriptions">#REF!</definedName>
    <definedName name="g"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g"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GAD">#REF!</definedName>
    <definedName name="gc" localSheetId="6" hidden="1">{"Annual",#N/A,FALSE,"Sales &amp; Market";"Quarterly",#N/A,FALSE,"Sales &amp; Market"}</definedName>
    <definedName name="gc" hidden="1">{"Annual",#N/A,FALSE,"Sales &amp; Market";"Quarterly",#N/A,FALSE,"Sales &amp; Market"}</definedName>
    <definedName name="gcgc" localSheetId="6" hidden="1">{"Annual",#N/A,FALSE,"Sales &amp; Market";"Quarterly",#N/A,FALSE,"Sales &amp; Market"}</definedName>
    <definedName name="gcgc" hidden="1">{"Annual",#N/A,FALSE,"Sales &amp; Market";"Quarterly",#N/A,FALSE,"Sales &amp; Market"}</definedName>
    <definedName name="gcgc1" localSheetId="6" hidden="1">{"Annual",#N/A,FALSE,"Sales &amp; Market";"Quarterly",#N/A,FALSE,"Sales &amp; Market"}</definedName>
    <definedName name="gcgc1" hidden="1">{"Annual",#N/A,FALSE,"Sales &amp; Market";"Quarterly",#N/A,FALSE,"Sales &amp; Market"}</definedName>
    <definedName name="GeoList">#REF!</definedName>
    <definedName name="ggg" localSheetId="6" hidden="1">{#N/A,#N/A,FALSE,"Consol.";#N/A,#N/A,FALSE,"EM";#N/A,#N/A,FALSE,"Reagent";#N/A,#N/A,FALSE,"Raritan";#N/A,#N/A,FALSE,"UK";#N/A,#N/A,FALSE,"Germany"}</definedName>
    <definedName name="ggg" hidden="1">{#N/A,#N/A,FALSE,"Consol.";#N/A,#N/A,FALSE,"EM";#N/A,#N/A,FALSE,"Reagent";#N/A,#N/A,FALSE,"Raritan";#N/A,#N/A,FALSE,"UK";#N/A,#N/A,FALSE,"Germany"}</definedName>
    <definedName name="ggggg"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ggggg"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GJC">#REF!</definedName>
    <definedName name="glfkjdlj" localSheetId="6" hidden="1">{#N/A,#N/A,FALSE,"Consol.";#N/A,#N/A,FALSE,"EM";#N/A,#N/A,FALSE,"Reagent";#N/A,#N/A,FALSE,"Raritan";#N/A,#N/A,FALSE,"UK";#N/A,#N/A,FALSE,"Germany"}</definedName>
    <definedName name="glfkjdlj" hidden="1">{#N/A,#N/A,FALSE,"Consol.";#N/A,#N/A,FALSE,"EM";#N/A,#N/A,FALSE,"Reagent";#N/A,#N/A,FALSE,"Raritan";#N/A,#N/A,FALSE,"UK";#N/A,#N/A,FALSE,"Germany"}</definedName>
    <definedName name="golive">#REF!</definedName>
    <definedName name="golove">#REF!</definedName>
    <definedName name="GP">#REF!</definedName>
    <definedName name="GPS">#REF!</definedName>
    <definedName name="GPSI">#REF!</definedName>
    <definedName name="grandtot">#REF!</definedName>
    <definedName name="Greendot">#REF!</definedName>
    <definedName name="Grid">#REF!</definedName>
    <definedName name="Grid2">#REF!</definedName>
    <definedName name="GRJ">#REF!</definedName>
    <definedName name="groupnames">#REF!</definedName>
    <definedName name="HCSCSales">#REF!</definedName>
    <definedName name="headcot" localSheetId="6" hidden="1">{#N/A,#N/A,FALSE,"Consol.";#N/A,#N/A,FALSE,"Roch-EM";#N/A,#N/A,FALSE,"Reagents";#N/A,#N/A,FALSE,"Cardiff";#N/A,#N/A,FALSE,"Germany";#N/A,#N/A,FALSE,"Raitan";#N/A,#N/A,FALSE,"CTS";#N/A,#N/A,FALSE,"IM";#N/A,#N/A,FALSE,"Quality";#N/A,#N/A,FALSE,"Logistics"}</definedName>
    <definedName name="headcot" hidden="1">{#N/A,#N/A,FALSE,"Consol.";#N/A,#N/A,FALSE,"Roch-EM";#N/A,#N/A,FALSE,"Reagents";#N/A,#N/A,FALSE,"Cardiff";#N/A,#N/A,FALSE,"Germany";#N/A,#N/A,FALSE,"Raitan";#N/A,#N/A,FALSE,"CTS";#N/A,#N/A,FALSE,"IM";#N/A,#N/A,FALSE,"Quality";#N/A,#N/A,FALSE,"Logistics"}</definedName>
    <definedName name="headcount" localSheetId="6" hidden="1">{#N/A,#N/A,FALSE,"Consol.";#N/A,#N/A,FALSE,"Roch-EM";#N/A,#N/A,FALSE,"Reagents";#N/A,#N/A,FALSE,"Cardiff";#N/A,#N/A,FALSE,"Germany";#N/A,#N/A,FALSE,"Raitan";#N/A,#N/A,FALSE,"CTS";#N/A,#N/A,FALSE,"IM";#N/A,#N/A,FALSE,"Quality";#N/A,#N/A,FALSE,"Logistics"}</definedName>
    <definedName name="headcount" hidden="1">{#N/A,#N/A,FALSE,"Consol.";#N/A,#N/A,FALSE,"Roch-EM";#N/A,#N/A,FALSE,"Reagents";#N/A,#N/A,FALSE,"Cardiff";#N/A,#N/A,FALSE,"Germany";#N/A,#N/A,FALSE,"Raitan";#N/A,#N/A,FALSE,"CTS";#N/A,#N/A,FALSE,"IM";#N/A,#N/A,FALSE,"Quality";#N/A,#N/A,FALSE,"Logistics"}</definedName>
    <definedName name="headcount1">#REF!</definedName>
    <definedName name="headcount2">#REF!</definedName>
    <definedName name="headcount3">#REF!</definedName>
    <definedName name="help" localSheetId="6" hidden="1">{#N/A,#N/A,FALSE,"Consol.";#N/A,#N/A,FALSE,"Roch-EM";#N/A,#N/A,FALSE,"Reagents";#N/A,#N/A,FALSE,"Cardiff";#N/A,#N/A,FALSE,"Germany";#N/A,#N/A,FALSE,"Raitan";#N/A,#N/A,FALSE,"CTS";#N/A,#N/A,FALSE,"IM";#N/A,#N/A,FALSE,"Quality";#N/A,#N/A,FALSE,"Logistics"}</definedName>
    <definedName name="help" hidden="1">{#N/A,#N/A,FALSE,"Consol.";#N/A,#N/A,FALSE,"Roch-EM";#N/A,#N/A,FALSE,"Reagents";#N/A,#N/A,FALSE,"Cardiff";#N/A,#N/A,FALSE,"Germany";#N/A,#N/A,FALSE,"Raitan";#N/A,#N/A,FALSE,"CTS";#N/A,#N/A,FALSE,"IM";#N/A,#N/A,FALSE,"Quality";#N/A,#N/A,FALSE,"Logistics"}</definedName>
    <definedName name="helppp" localSheetId="6" hidden="1">{#N/A,#N/A,FALSE,"Consol.";#N/A,#N/A,FALSE,"EM";#N/A,#N/A,FALSE,"Reagent";#N/A,#N/A,FALSE,"Raritan";#N/A,#N/A,FALSE,"UK";#N/A,#N/A,FALSE,"Germany"}</definedName>
    <definedName name="helppp" hidden="1">{#N/A,#N/A,FALSE,"Consol.";#N/A,#N/A,FALSE,"EM";#N/A,#N/A,FALSE,"Reagent";#N/A,#N/A,FALSE,"Raritan";#N/A,#N/A,FALSE,"UK";#N/A,#N/A,FALSE,"Germany"}</definedName>
    <definedName name="hhh"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hhh"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Holiday">#REF!</definedName>
    <definedName name="Holiday1">#REF!</definedName>
    <definedName name="Hours_in_a_Month">#REF!</definedName>
    <definedName name="hoursperday">#REF!</definedName>
    <definedName name="hoursperdayy">#REF!</definedName>
    <definedName name="HTML_CodePage" hidden="1">1252</definedName>
    <definedName name="HTML_Control" localSheetId="6" hidden="1">{"'Server Configuration'!$A$1:$DB$281"}</definedName>
    <definedName name="HTML_Control" hidden="1">{"'Server Configuration'!$A$1:$DB$281"}</definedName>
    <definedName name="HTML_Control1" localSheetId="6" hidden="1">{"'Server Configuration'!$A$1:$DB$281"}</definedName>
    <definedName name="HTML_Control1" hidden="1">{"'Server Configuration'!$A$1:$DB$281"}</definedName>
    <definedName name="HTML_Description" hidden="1">""</definedName>
    <definedName name="HTML_Email" hidden="1">""</definedName>
    <definedName name="HTML_Header" hidden="1">"Server Configuration"</definedName>
    <definedName name="HTML_LastUpdate" hidden="1">"2/9/01"</definedName>
    <definedName name="HTML_LineAfter" hidden="1">FALSE</definedName>
    <definedName name="HTML_LineBefore" hidden="1">FALSE</definedName>
    <definedName name="HTML_Name" hidden="1">"Corporate Network Services"</definedName>
    <definedName name="HTML_OBDlg2" hidden="1">TRUE</definedName>
    <definedName name="HTML_OBDlg4" hidden="1">TRUE</definedName>
    <definedName name="HTML_OS" hidden="1">0</definedName>
    <definedName name="HTML_PathFile" hidden="1">"C:\WINNT\Profiles\E003999\Desktop\MyHTML.htm"</definedName>
    <definedName name="HTML_Title" hidden="1">"Asset Tracking 2_9_01"</definedName>
    <definedName name="ICORECV">#REF!</definedName>
    <definedName name="ii"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ii"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iii" localSheetId="6" hidden="1">{#N/A,#N/A,FALSE,"Consol.";#N/A,#N/A,FALSE,"EM";#N/A,#N/A,FALSE,"Reagent";#N/A,#N/A,FALSE,"Raritan";#N/A,#N/A,FALSE,"UK";#N/A,#N/A,FALSE,"Germany"}</definedName>
    <definedName name="iii" hidden="1">{#N/A,#N/A,FALSE,"Consol.";#N/A,#N/A,FALSE,"EM";#N/A,#N/A,FALSE,"Reagent";#N/A,#N/A,FALSE,"Raritan";#N/A,#N/A,FALSE,"UK";#N/A,#N/A,FALSE,"Germany"}</definedName>
    <definedName name="Incomm">#REF!</definedName>
    <definedName name="INF">#REF!</definedName>
    <definedName name="Inflation">#REF!</definedName>
    <definedName name="INFO_INSTANCE_ID" hidden="1">"0"</definedName>
    <definedName name="INFO_INSTANCE_NAME" hidden="1">"24Help PV2_20090429_16_24_07_2424.xls"</definedName>
    <definedName name="INFO_REPORT_CODE" hidden="1">""</definedName>
    <definedName name="INFO_REPORT_ID" hidden="1">"2"</definedName>
    <definedName name="INFO_REPORT_NAME" hidden="1">"24Help PV2"</definedName>
    <definedName name="INFO_RUN_USER" hidden="1">""</definedName>
    <definedName name="INFO_RUN_WORKSTATION" hidden="1">"CPT-L-REM-BRBRU"</definedName>
    <definedName name="inicio">#REF!</definedName>
    <definedName name="Instructions_Channels">#REF!</definedName>
    <definedName name="Instructions_Config">#REF!</definedName>
    <definedName name="Instructions_Filtering">#REF!</definedName>
    <definedName name="Instructions_Labor">#REF!</definedName>
    <definedName name="Instructions_Margin">#REF!</definedName>
    <definedName name="Instructions_Volumes">#REF!</definedName>
    <definedName name="INTANG">#REF!</definedName>
    <definedName name="INVENT">#REF!</definedName>
    <definedName name="iq">#REF!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ERED_DEPOSITS_FDIC" hidden="1">"c6486"</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HIGH_EST_CIQ" hidden="1">"c4977"</definedName>
    <definedName name="IQ_FFO_LOW_EST_CIQ" hidden="1">"c4978"</definedName>
    <definedName name="IQ_FFO_MEDIAN_EST_CIQ" hidden="1">"c4979"</definedName>
    <definedName name="IQ_FFO_NUM_EST_CIQ" hidden="1">"c4980"</definedName>
    <definedName name="IQ_FFO_STDDEV_EST_CIQ" hidden="1">"c4981"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41281.6061226852</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39244.6394560185</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R" hidden="1">"c5517"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tem">#REF!</definedName>
    <definedName name="Item1">#REF!</definedName>
    <definedName name="Item2">#REF!</definedName>
    <definedName name="Itemlist">#REF!</definedName>
    <definedName name="IV">#REF!</definedName>
    <definedName name="jd"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jd"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jjjjj" localSheetId="6" hidden="1">{#N/A,#N/A,FALSE,"Consol.";#N/A,#N/A,FALSE,"EM";#N/A,#N/A,FALSE,"Reagent";#N/A,#N/A,FALSE,"Raritan";#N/A,#N/A,FALSE,"UK";#N/A,#N/A,FALSE,"Germany"}</definedName>
    <definedName name="jjjjj" hidden="1">{#N/A,#N/A,FALSE,"Consol.";#N/A,#N/A,FALSE,"EM";#N/A,#N/A,FALSE,"Reagent";#N/A,#N/A,FALSE,"Raritan";#N/A,#N/A,FALSE,"UK";#N/A,#N/A,FALSE,"Germany"}</definedName>
    <definedName name="KAL">#REF!</definedName>
    <definedName name="Katz">#REF!</definedName>
    <definedName name="Katz_Adder">#REF!</definedName>
    <definedName name="KatzSW">#REF!</definedName>
    <definedName name="keyur" localSheetId="6" hidden="1">{#N/A,#N/A,FALSE,"Consol.";#N/A,#N/A,FALSE,"EM";#N/A,#N/A,FALSE,"Reagents";#N/A,#N/A,FALSE,"UK";#N/A,#N/A,FALSE,"Raritan";#N/A,#N/A,FALSE,"Germany"}</definedName>
    <definedName name="keyur" hidden="1">{#N/A,#N/A,FALSE,"Consol.";#N/A,#N/A,FALSE,"EM";#N/A,#N/A,FALSE,"Reagents";#N/A,#N/A,FALSE,"UK";#N/A,#N/A,FALSE,"Raritan";#N/A,#N/A,FALSE,"Germany"}</definedName>
    <definedName name="l" localSheetId="6" hidden="1">{#N/A,#N/A,FALSE,"Consol.";#N/A,#N/A,FALSE,"EM";#N/A,#N/A,FALSE,"Reagents";#N/A,#N/A,FALSE,"UK";#N/A,#N/A,FALSE,"Raritan";#N/A,#N/A,FALSE,"Germany"}</definedName>
    <definedName name="l" hidden="1">{#N/A,#N/A,FALSE,"Consol.";#N/A,#N/A,FALSE,"EM";#N/A,#N/A,FALSE,"Reagents";#N/A,#N/A,FALSE,"UK";#N/A,#N/A,FALSE,"Raritan";#N/A,#N/A,FALSE,"Germany"}</definedName>
    <definedName name="LaborCost">#REF!</definedName>
    <definedName name="Lag">#REF!</definedName>
    <definedName name="lang">#REF!</definedName>
    <definedName name="Languages">#REF!</definedName>
    <definedName name="Languages_Languages">#REF!</definedName>
    <definedName name="Last_Row">#N/A</definedName>
    <definedName name="LEW">#REF!</definedName>
    <definedName name="licenseduration">#REF!</definedName>
    <definedName name="licensescope">#REF!</definedName>
    <definedName name="limcount" hidden="1">3</definedName>
    <definedName name="lisa" localSheetId="6" hidden="1">{#N/A,#N/A,FALSE,"Consol.";#N/A,#N/A,FALSE,"EM";#N/A,#N/A,FALSE,"Reagent";#N/A,#N/A,FALSE,"Raritan";#N/A,#N/A,FALSE,"UK";#N/A,#N/A,FALSE,"Germany"}</definedName>
    <definedName name="lisa" hidden="1">{#N/A,#N/A,FALSE,"Consol.";#N/A,#N/A,FALSE,"EM";#N/A,#N/A,FALSE,"Reagent";#N/A,#N/A,FALSE,"Raritan";#N/A,#N/A,FALSE,"UK";#N/A,#N/A,FALSE,"Germany"}</definedName>
    <definedName name="lisa1" localSheetId="6" hidden="1">{#N/A,#N/A,FALSE,"Consol.";#N/A,#N/A,FALSE,"EM";#N/A,#N/A,FALSE,"Reagent";#N/A,#N/A,FALSE,"Raritan";#N/A,#N/A,FALSE,"UK";#N/A,#N/A,FALSE,"Germany"}</definedName>
    <definedName name="lisa1" hidden="1">{#N/A,#N/A,FALSE,"Consol.";#N/A,#N/A,FALSE,"EM";#N/A,#N/A,FALSE,"Reagent";#N/A,#N/A,FALSE,"Raritan";#N/A,#N/A,FALSE,"UK";#N/A,#N/A,FALSE,"Germany"}</definedName>
    <definedName name="lisa2" localSheetId="6" hidden="1">{#N/A,#N/A,FALSE,"Consol.";#N/A,#N/A,FALSE,"EM";#N/A,#N/A,FALSE,"Reagent";#N/A,#N/A,FALSE,"Raritan";#N/A,#N/A,FALSE,"UK";#N/A,#N/A,FALSE,"Germany"}</definedName>
    <definedName name="lisa2" hidden="1">{#N/A,#N/A,FALSE,"Consol.";#N/A,#N/A,FALSE,"EM";#N/A,#N/A,FALSE,"Reagent";#N/A,#N/A,FALSE,"Raritan";#N/A,#N/A,FALSE,"UK";#N/A,#N/A,FALSE,"Germany"}</definedName>
    <definedName name="lllll" localSheetId="6" hidden="1">{#N/A,#N/A,FALSE,"Consol.";#N/A,#N/A,FALSE,"Roch-EM";#N/A,#N/A,FALSE,"Reagents";#N/A,#N/A,FALSE,"Cardiff";#N/A,#N/A,FALSE,"Germany";#N/A,#N/A,FALSE,"Raitan";#N/A,#N/A,FALSE,"CTS";#N/A,#N/A,FALSE,"IM";#N/A,#N/A,FALSE,"Quality";#N/A,#N/A,FALSE,"Logistics"}</definedName>
    <definedName name="lllll" hidden="1">{#N/A,#N/A,FALSE,"Consol.";#N/A,#N/A,FALSE,"Roch-EM";#N/A,#N/A,FALSE,"Reagents";#N/A,#N/A,FALSE,"Cardiff";#N/A,#N/A,FALSE,"Germany";#N/A,#N/A,FALSE,"Raitan";#N/A,#N/A,FALSE,"CTS";#N/A,#N/A,FALSE,"IM";#N/A,#N/A,FALSE,"Quality";#N/A,#N/A,FALSE,"Logistics"}</definedName>
    <definedName name="LMUP">#REF!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#REF!</definedName>
    <definedName name="Locations">#REF!</definedName>
    <definedName name="Locations_Locations">#REF!</definedName>
    <definedName name="LOGO">"Picture 5"</definedName>
    <definedName name="LTRECV">#REF!</definedName>
    <definedName name="lynn" localSheetId="6" hidden="1">{#N/A,#N/A,FALSE,"Consol.";#N/A,#N/A,FALSE,"EM";#N/A,#N/A,FALSE,"Reagent";#N/A,#N/A,FALSE,"Raritan";#N/A,#N/A,FALSE,"UK";#N/A,#N/A,FALSE,"Germany"}</definedName>
    <definedName name="lynn" hidden="1">{#N/A,#N/A,FALSE,"Consol.";#N/A,#N/A,FALSE,"EM";#N/A,#N/A,FALSE,"Reagent";#N/A,#N/A,FALSE,"Raritan";#N/A,#N/A,FALSE,"UK";#N/A,#N/A,FALSE,"Germany"}</definedName>
    <definedName name="m" localSheetId="6" hidden="1">{#N/A,#N/A,FALSE,"Consol.";#N/A,#N/A,FALSE,"EM";#N/A,#N/A,FALSE,"Reagent";#N/A,#N/A,FALSE,"Raritan";#N/A,#N/A,FALSE,"UK";#N/A,#N/A,FALSE,"Germany"}</definedName>
    <definedName name="m" hidden="1">{#N/A,#N/A,FALSE,"Consol.";#N/A,#N/A,FALSE,"EM";#N/A,#N/A,FALSE,"Reagent";#N/A,#N/A,FALSE,"Raritan";#N/A,#N/A,FALSE,"UK";#N/A,#N/A,FALSE,"Germany"}</definedName>
    <definedName name="Macro3">#REF!</definedName>
    <definedName name="Mark_Up">#REF!</definedName>
    <definedName name="markdown">#REF!</definedName>
    <definedName name="Markup">#REF!</definedName>
    <definedName name="master_def">#REF!</definedName>
    <definedName name="material" localSheetId="6" hidden="1">{#N/A,#N/A,FALSE,"Consol.";#N/A,#N/A,FALSE,"EM";#N/A,#N/A,FALSE,"Reagents";#N/A,#N/A,FALSE,"UK";#N/A,#N/A,FALSE,"Raritan";#N/A,#N/A,FALSE,"Germany"}</definedName>
    <definedName name="material" hidden="1">{#N/A,#N/A,FALSE,"Consol.";#N/A,#N/A,FALSE,"EM";#N/A,#N/A,FALSE,"Reagents";#N/A,#N/A,FALSE,"UK";#N/A,#N/A,FALSE,"Raritan";#N/A,#N/A,FALSE,"Germany"}</definedName>
    <definedName name="MaxConcurrency">#REF!</definedName>
    <definedName name="mhelllll" localSheetId="6" hidden="1">{#N/A,#N/A,FALSE,"Consol.";#N/A,#N/A,FALSE,"EM";#N/A,#N/A,FALSE,"Reagents";#N/A,#N/A,FALSE,"UK";#N/A,#N/A,FALSE,"Raritan";#N/A,#N/A,FALSE,"Germany"}</definedName>
    <definedName name="mhelllll" hidden="1">{#N/A,#N/A,FALSE,"Consol.";#N/A,#N/A,FALSE,"EM";#N/A,#N/A,FALSE,"Reagents";#N/A,#N/A,FALSE,"UK";#N/A,#N/A,FALSE,"Raritan";#N/A,#N/A,FALSE,"Germany"}</definedName>
    <definedName name="MinFTECoverage">#REF!</definedName>
    <definedName name="MIS">#REF!</definedName>
    <definedName name="mlo"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mlo"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mm" localSheetId="6" hidden="1">{#N/A,#N/A,FALSE,"Consol.";#N/A,#N/A,FALSE,"EM";#N/A,#N/A,FALSE,"Reagents";#N/A,#N/A,FALSE,"UK";#N/A,#N/A,FALSE,"Raritan";#N/A,#N/A,FALSE,"Germany"}</definedName>
    <definedName name="mm" hidden="1">{#N/A,#N/A,FALSE,"Consol.";#N/A,#N/A,FALSE,"EM";#N/A,#N/A,FALSE,"Reagents";#N/A,#N/A,FALSE,"UK";#N/A,#N/A,FALSE,"Raritan";#N/A,#N/A,FALSE,"Germany"}</definedName>
    <definedName name="mmmmm" localSheetId="6" hidden="1">{#N/A,#N/A,FALSE,"Consol.";#N/A,#N/A,FALSE,"Roch-EM";#N/A,#N/A,FALSE,"Reagents";#N/A,#N/A,FALSE,"Cardiff";#N/A,#N/A,FALSE,"Germany";#N/A,#N/A,FALSE,"Raitan";#N/A,#N/A,FALSE,"CTS";#N/A,#N/A,FALSE,"IM";#N/A,#N/A,FALSE,"Quality";#N/A,#N/A,FALSE,"Logistics"}</definedName>
    <definedName name="mmmmm" hidden="1">{#N/A,#N/A,FALSE,"Consol.";#N/A,#N/A,FALSE,"Roch-EM";#N/A,#N/A,FALSE,"Reagents";#N/A,#N/A,FALSE,"Cardiff";#N/A,#N/A,FALSE,"Germany";#N/A,#N/A,FALSE,"Raitan";#N/A,#N/A,FALSE,"CTS";#N/A,#N/A,FALSE,"IM";#N/A,#N/A,FALSE,"Quality";#N/A,#N/A,FALSE,"Logistics"}</definedName>
    <definedName name="mmmmmm" localSheetId="6" hidden="1">{#N/A,#N/A,FALSE,"Consol.";#N/A,#N/A,FALSE,"EM";#N/A,#N/A,FALSE,"Reagent";#N/A,#N/A,FALSE,"Raritan";#N/A,#N/A,FALSE,"UK";#N/A,#N/A,FALSE,"Germany"}</definedName>
    <definedName name="mmmmmm" hidden="1">{#N/A,#N/A,FALSE,"Consol.";#N/A,#N/A,FALSE,"EM";#N/A,#N/A,FALSE,"Reagent";#N/A,#N/A,FALSE,"Raritan";#N/A,#N/A,FALSE,"UK";#N/A,#N/A,FALSE,"Germany"}</definedName>
    <definedName name="MonthName">#REF!</definedName>
    <definedName name="MRCSS">#REF!</definedName>
    <definedName name="MRCSS1">#REF!</definedName>
    <definedName name="MRCSS2">#REF!</definedName>
    <definedName name="MRCSS3">#REF!</definedName>
    <definedName name="MRCSS4">#REF!</definedName>
    <definedName name="MRCSS5">#REF!</definedName>
    <definedName name="MRCSS6">#REF!</definedName>
    <definedName name="mtres">#REF!</definedName>
    <definedName name="mwd">#REF!</definedName>
    <definedName name="n"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n"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New_Chat_Y1">#REF!</definedName>
    <definedName name="New_Chat_Y2">#REF!</definedName>
    <definedName name="New_Chat_Y3">#REF!</definedName>
    <definedName name="New_DR">#REF!</definedName>
    <definedName name="New_PH">#REF!</definedName>
    <definedName name="New_Voice_Y1">#REF!</definedName>
    <definedName name="New_Voice_Y2">#REF!</definedName>
    <definedName name="New_Voice_Y3">#REF!</definedName>
    <definedName name="nextcell">#REF!</definedName>
    <definedName name="njap" localSheetId="6" hidden="1">{#N/A,#N/A,FALSE,"Consol.";#N/A,#N/A,FALSE,"EM";#N/A,#N/A,FALSE,"Reagent";#N/A,#N/A,FALSE,"Raritan";#N/A,#N/A,FALSE,"UK";#N/A,#N/A,FALSE,"Germany"}</definedName>
    <definedName name="njap" hidden="1">{#N/A,#N/A,FALSE,"Consol.";#N/A,#N/A,FALSE,"EM";#N/A,#N/A,FALSE,"Reagent";#N/A,#N/A,FALSE,"Raritan";#N/A,#N/A,FALSE,"UK";#N/A,#N/A,FALSE,"Germany"}</definedName>
    <definedName name="NLMU">#REF!</definedName>
    <definedName name="NonAMS">#REF!</definedName>
    <definedName name="nondiv1">#REF!</definedName>
    <definedName name="nondiv2">#REF!</definedName>
    <definedName name="nondiv3">#REF!</definedName>
    <definedName name="NTPAY">#REF!</definedName>
    <definedName name="NTPAYLT">#REF!</definedName>
    <definedName name="NTRCVCURR">#REF!</definedName>
    <definedName name="NullSpend">#REF!</definedName>
    <definedName name="Number_of_Payments" localSheetId="6">MATCH(0.01,End_Bal,-1)+1</definedName>
    <definedName name="Number_of_Payments">MATCH(0.01,End_Bal,-1)+1</definedName>
    <definedName name="NvsASD">"V2001-02-28"</definedName>
    <definedName name="NvsAutoDrillOk">"VN"</definedName>
    <definedName name="NvsElapsedTime">0.00297997685265727</definedName>
    <definedName name="NvsEndTime">36957.491430787</definedName>
    <definedName name="NvsInstSpec">"%,FPROJECT_ID,TPROJECT_BASE,NEMP_CARE"</definedName>
    <definedName name="NvsLayoutType">"M3"</definedName>
    <definedName name="NvsNplSpec">"%,X,RZF..NPlode,CZF.."</definedName>
    <definedName name="NvsPanelEffdt">"V2001-02-28"</definedName>
    <definedName name="NvsPanelSetid">"VCONVG"</definedName>
    <definedName name="NvsReqBU">"V30001"</definedName>
    <definedName name="NvsReqBUOnly">"VN"</definedName>
    <definedName name="NvsTransLed">"VN"</definedName>
    <definedName name="NvsTreeASD">"V2001-02-28"</definedName>
    <definedName name="NvsValTbl.ACCOUNT">"GL_ACCOUNT_TBL"</definedName>
    <definedName name="o" localSheetId="6" hidden="1">{#N/A,#N/A,FALSE,"Consol.";#N/A,#N/A,FALSE,"Roch-EM";#N/A,#N/A,FALSE,"Reagents";#N/A,#N/A,FALSE,"Cardiff";#N/A,#N/A,FALSE,"Germany";#N/A,#N/A,FALSE,"Raitan";#N/A,#N/A,FALSE,"CTS";#N/A,#N/A,FALSE,"IM";#N/A,#N/A,FALSE,"Quality";#N/A,#N/A,FALSE,"Logistics"}</definedName>
    <definedName name="o" hidden="1">{#N/A,#N/A,FALSE,"Consol.";#N/A,#N/A,FALSE,"Roch-EM";#N/A,#N/A,FALSE,"Reagents";#N/A,#N/A,FALSE,"Cardiff";#N/A,#N/A,FALSE,"Germany";#N/A,#N/A,FALSE,"Raitan";#N/A,#N/A,FALSE,"CTS";#N/A,#N/A,FALSE,"IM";#N/A,#N/A,FALSE,"Quality";#N/A,#N/A,FALSE,"Logistics"}</definedName>
    <definedName name="OB_Channel_Chat">#REF!</definedName>
    <definedName name="OB_Channel_Voice">#REF!</definedName>
    <definedName name="Occupancy">#REF!</definedName>
    <definedName name="ok" localSheetId="6" hidden="1">{"Annual",#N/A,FALSE,"Sales &amp; Market";"Quarterly",#N/A,FALSE,"Sales &amp; Market"}</definedName>
    <definedName name="ok" hidden="1">{"Annual",#N/A,FALSE,"Sales &amp; Market";"Quarterly",#N/A,FALSE,"Sales &amp; Market"}</definedName>
    <definedName name="OMF">#REF!</definedName>
    <definedName name="OnPrem">#REF!</definedName>
    <definedName name="ooo" localSheetId="6" hidden="1">{#N/A,#N/A,FALSE,"Consol.";#N/A,#N/A,FALSE,"Roch-EM";#N/A,#N/A,FALSE,"Reagents";#N/A,#N/A,FALSE,"Cardiff";#N/A,#N/A,FALSE,"Germany";#N/A,#N/A,FALSE,"Raitan";#N/A,#N/A,FALSE,"CTS";#N/A,#N/A,FALSE,"IM";#N/A,#N/A,FALSE,"Quality";#N/A,#N/A,FALSE,"Logistics"}</definedName>
    <definedName name="ooo" hidden="1">{#N/A,#N/A,FALSE,"Consol.";#N/A,#N/A,FALSE,"Roch-EM";#N/A,#N/A,FALSE,"Reagents";#N/A,#N/A,FALSE,"Cardiff";#N/A,#N/A,FALSE,"Germany";#N/A,#N/A,FALSE,"Raitan";#N/A,#N/A,FALSE,"CTS";#N/A,#N/A,FALSE,"IM";#N/A,#N/A,FALSE,"Quality";#N/A,#N/A,FALSE,"Logistics"}</definedName>
    <definedName name="ooooo" localSheetId="6" hidden="1">{#N/A,#N/A,FALSE,"Consol.";#N/A,#N/A,FALSE,"EM";#N/A,#N/A,FALSE,"Reagents";#N/A,#N/A,FALSE,"UK";#N/A,#N/A,FALSE,"Raritan";#N/A,#N/A,FALSE,"Germany"}</definedName>
    <definedName name="ooooo" hidden="1">{#N/A,#N/A,FALSE,"Consol.";#N/A,#N/A,FALSE,"EM";#N/A,#N/A,FALSE,"Reagents";#N/A,#N/A,FALSE,"UK";#N/A,#N/A,FALSE,"Raritan";#N/A,#N/A,FALSE,"Germany"}</definedName>
    <definedName name="OpsGroups">#REF!</definedName>
    <definedName name="OR_Channel_Chat">#REF!</definedName>
    <definedName name="OR_Channel_Voice">#REF!</definedName>
    <definedName name="OR_DR">#REF!</definedName>
    <definedName name="OR_PH">#REF!</definedName>
    <definedName name="Organization">#REF!</definedName>
    <definedName name="OrgInputs">#REF!</definedName>
    <definedName name="OTHACCR">#REF!</definedName>
    <definedName name="OtherChannelsRatio">#REF!</definedName>
    <definedName name="OTHPAY">#REF!</definedName>
    <definedName name="OTHRECBL">#REF!</definedName>
    <definedName name="outputcurrency">#REF!</definedName>
    <definedName name="outputcurrencylabel">#REF!</definedName>
    <definedName name="OUVE">#REF!</definedName>
    <definedName name="p" localSheetId="6" hidden="1">{#N/A,#N/A,FALSE,"Consol.";#N/A,#N/A,FALSE,"EM";#N/A,#N/A,FALSE,"Reagent";#N/A,#N/A,FALSE,"Raritan";#N/A,#N/A,FALSE,"UK";#N/A,#N/A,FALSE,"Germany"}</definedName>
    <definedName name="p" hidden="1">{#N/A,#N/A,FALSE,"Consol.";#N/A,#N/A,FALSE,"EM";#N/A,#N/A,FALSE,"Reagent";#N/A,#N/A,FALSE,"Raritan";#N/A,#N/A,FALSE,"UK";#N/A,#N/A,FALSE,"Germany"}</definedName>
    <definedName name="P_Sachin">#REF!</definedName>
    <definedName name="P10BL">#REF!</definedName>
    <definedName name="P10CAC">#REF!</definedName>
    <definedName name="P10CN">#REF!</definedName>
    <definedName name="P10CR">#REF!</definedName>
    <definedName name="P10IL">#REF!</definedName>
    <definedName name="P10INC">#REF!</definedName>
    <definedName name="P10UD1">#REF!</definedName>
    <definedName name="P10UD2">#REF!</definedName>
    <definedName name="P10UD3">#REF!</definedName>
    <definedName name="P10UD4">#REF!</definedName>
    <definedName name="P10UD5">#REF!</definedName>
    <definedName name="P10USC">#REF!</definedName>
    <definedName name="P11BL">#REF!</definedName>
    <definedName name="P1BL">#REF!</definedName>
    <definedName name="P1CAC">#REF!</definedName>
    <definedName name="P1CN">#REF!</definedName>
    <definedName name="P1CR">#REF!</definedName>
    <definedName name="P1IL">#REF!</definedName>
    <definedName name="P1INC">#REF!</definedName>
    <definedName name="P1UD1">#REF!</definedName>
    <definedName name="P1UD2">#REF!</definedName>
    <definedName name="P1UD3">#REF!</definedName>
    <definedName name="P1UD4">#REF!</definedName>
    <definedName name="P1UD5">#REF!</definedName>
    <definedName name="P1USC">#REF!</definedName>
    <definedName name="P2BL">#REF!</definedName>
    <definedName name="P2CAC">#REF!</definedName>
    <definedName name="P2CN">#REF!</definedName>
    <definedName name="P2CR">#REF!</definedName>
    <definedName name="P2IL">#REF!</definedName>
    <definedName name="P2INC">#REF!</definedName>
    <definedName name="P2UD1">#REF!</definedName>
    <definedName name="P2UD2">#REF!</definedName>
    <definedName name="P2UD3">#REF!</definedName>
    <definedName name="P2UD4">#REF!</definedName>
    <definedName name="P2UD5">#REF!</definedName>
    <definedName name="P2USC">#REF!</definedName>
    <definedName name="P3BL">#REF!</definedName>
    <definedName name="P3CAC">#REF!</definedName>
    <definedName name="P3CN">#REF!</definedName>
    <definedName name="P3CR">#REF!</definedName>
    <definedName name="P3IL">#REF!</definedName>
    <definedName name="P3INC">#REF!</definedName>
    <definedName name="P3UD1">#REF!</definedName>
    <definedName name="P3UD2">#REF!</definedName>
    <definedName name="P3UD3">#REF!</definedName>
    <definedName name="P3UD4">#REF!</definedName>
    <definedName name="P3UD5">#REF!</definedName>
    <definedName name="P3USC">#REF!</definedName>
    <definedName name="P4BL">#REF!</definedName>
    <definedName name="P4CAC">#REF!</definedName>
    <definedName name="P4CN">#REF!</definedName>
    <definedName name="P4CR">#REF!</definedName>
    <definedName name="P4IL">#REF!</definedName>
    <definedName name="P4INC">#REF!</definedName>
    <definedName name="P4UD1">#REF!</definedName>
    <definedName name="P4UD2">#REF!</definedName>
    <definedName name="P4UD3">#REF!</definedName>
    <definedName name="P4UD4">#REF!</definedName>
    <definedName name="P4UD5">#REF!</definedName>
    <definedName name="P4USC">#REF!</definedName>
    <definedName name="P5BL">#REF!</definedName>
    <definedName name="P5CAC">#REF!</definedName>
    <definedName name="P5CN">#REF!</definedName>
    <definedName name="P5CR">#REF!</definedName>
    <definedName name="P5IL">#REF!</definedName>
    <definedName name="P5INC">#REF!</definedName>
    <definedName name="P5UD1">#REF!</definedName>
    <definedName name="P5UD2">#REF!</definedName>
    <definedName name="P5UD3">#REF!</definedName>
    <definedName name="P5UD4">#REF!</definedName>
    <definedName name="P5UD5">#REF!</definedName>
    <definedName name="P5USC">#REF!</definedName>
    <definedName name="P6BL">#REF!</definedName>
    <definedName name="P6CAC">#REF!</definedName>
    <definedName name="P6CN">#REF!</definedName>
    <definedName name="P6CR">#REF!</definedName>
    <definedName name="P6IL">#REF!</definedName>
    <definedName name="P6INC">#REF!</definedName>
    <definedName name="P6UD1">#REF!</definedName>
    <definedName name="P6UD2">#REF!</definedName>
    <definedName name="P6UD3">#REF!</definedName>
    <definedName name="P6UD4">#REF!</definedName>
    <definedName name="P6UD5">#REF!</definedName>
    <definedName name="P6USC">#REF!</definedName>
    <definedName name="P7BL">#REF!</definedName>
    <definedName name="P7CAC">#REF!</definedName>
    <definedName name="P7CN">#REF!</definedName>
    <definedName name="P7CR">#REF!</definedName>
    <definedName name="P7IL">#REF!</definedName>
    <definedName name="P7INC">#REF!</definedName>
    <definedName name="P7UD1">#REF!</definedName>
    <definedName name="P7UD2">#REF!</definedName>
    <definedName name="P7UD3">#REF!</definedName>
    <definedName name="P7UD4">#REF!</definedName>
    <definedName name="P7UD5">#REF!</definedName>
    <definedName name="P7USC">#REF!</definedName>
    <definedName name="P8BL">#REF!</definedName>
    <definedName name="P8CAC">#REF!</definedName>
    <definedName name="P8CN">#REF!</definedName>
    <definedName name="P8CR">#REF!</definedName>
    <definedName name="P8IL">#REF!</definedName>
    <definedName name="P8INC">#REF!</definedName>
    <definedName name="P8UD1">#REF!</definedName>
    <definedName name="P8UD2">#REF!</definedName>
    <definedName name="P8UD3">#REF!</definedName>
    <definedName name="P8UD4">#REF!</definedName>
    <definedName name="P8UD5">#REF!</definedName>
    <definedName name="P8USC">#REF!</definedName>
    <definedName name="P9BL">#REF!</definedName>
    <definedName name="P9CAC">#REF!</definedName>
    <definedName name="P9CN">#REF!</definedName>
    <definedName name="P9CR">#REF!</definedName>
    <definedName name="P9IL">#REF!</definedName>
    <definedName name="P9INC">#REF!</definedName>
    <definedName name="P9UD1">#REF!</definedName>
    <definedName name="P9UD2">#REF!</definedName>
    <definedName name="P9UD3">#REF!</definedName>
    <definedName name="P9UD4">#REF!</definedName>
    <definedName name="P9UD5">#REF!</definedName>
    <definedName name="P9USC">#REF!</definedName>
    <definedName name="packaging_type">#REF!</definedName>
    <definedName name="PARIDAD">#REF!</definedName>
    <definedName name="Payment_Date" localSheetId="6">DATE(YEAR(Loan_Start),MONTH(Loan_Start)+Payment_Number,DAY(Loan_Start))</definedName>
    <definedName name="Payment_Date">DATE(YEAR(Loan_Start),MONTH(Loan_Start)+Payment_Number,DAY(Loan_Start))</definedName>
    <definedName name="peak1">#REF!</definedName>
    <definedName name="peak2">#REF!</definedName>
    <definedName name="peak3">#REF!</definedName>
    <definedName name="Period">3</definedName>
    <definedName name="Phildiv2">#REF!</definedName>
    <definedName name="Phildiv3">#REF!</definedName>
    <definedName name="phildiv4">#REF!</definedName>
    <definedName name="PIC">#REF!</definedName>
    <definedName name="PL">#REF!</definedName>
    <definedName name="POCA">#REF!</definedName>
    <definedName name="PPDS">#REF!</definedName>
    <definedName name="ppp"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ppp"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ppppp" localSheetId="6" hidden="1">{#N/A,#N/A,FALSE,"Consol.";#N/A,#N/A,FALSE,"EM";#N/A,#N/A,FALSE,"Reagent";#N/A,#N/A,FALSE,"Raritan";#N/A,#N/A,FALSE,"UK";#N/A,#N/A,FALSE,"Germany"}</definedName>
    <definedName name="ppppp" hidden="1">{#N/A,#N/A,FALSE,"Consol.";#N/A,#N/A,FALSE,"EM";#N/A,#N/A,FALSE,"Reagent";#N/A,#N/A,FALSE,"Raritan";#N/A,#N/A,FALSE,"UK";#N/A,#N/A,FALSE,"Germany"}</definedName>
    <definedName name="pranav"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pranav"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PreHirePeriod">#REF!</definedName>
    <definedName name="Price">#REF!</definedName>
    <definedName name="Pricing_basis_site_1">#REF!</definedName>
    <definedName name="Pricing_Labor_Total">#REF!</definedName>
    <definedName name="Pricing_Name_Calls">#REF!</definedName>
    <definedName name="Pricing_Name_Chats">#REF!</definedName>
    <definedName name="Pricing_Name_Emails">#REF!</definedName>
    <definedName name="Pricing_Name_Other1">#REF!</definedName>
    <definedName name="Pricing_Name_Other2">#REF!</definedName>
    <definedName name="Pricing_Name_Other3">#REF!</definedName>
    <definedName name="Pricing_Name_SMB">#REF!</definedName>
    <definedName name="Pricing_Name_SMS">#REF!</definedName>
    <definedName name="Pricing_Name_Survey">#REF!</definedName>
    <definedName name="Pricing_OrecX_SubTotal">#REF!</definedName>
    <definedName name="Pricing_Other_Total">#REF!</definedName>
    <definedName name="Pricing_PerAgentHour">#REF!</definedName>
    <definedName name="Pricing_Security_SubTotal">#REF!</definedName>
    <definedName name="Pricing_Setup_Total">#REF!</definedName>
    <definedName name="Pricing_Tech_SubTotal">#REF!</definedName>
    <definedName name="Pricing_Tech_Total">#REF!</definedName>
    <definedName name="Pricing_Total">#REF!</definedName>
    <definedName name="print" localSheetId="6" hidden="1">{#N/A,#N/A,FALSE,"Financial";#N/A,#N/A,FALSE,"Balance Sheet";#N/A,#N/A,FALSE,"Income stmt";#N/A,#N/A,FALSE,"Ratio"}</definedName>
    <definedName name="print" hidden="1">{#N/A,#N/A,FALSE,"Financial";#N/A,#N/A,FALSE,"Balance Sheet";#N/A,#N/A,FALSE,"Income stmt";#N/A,#N/A,FALSE,"Ratio"}</definedName>
    <definedName name="Print_Area_Reset" localSheetId="6">OFFSET(Full_Print,0,0,Last_Row)</definedName>
    <definedName name="Print_Area_Reset">OFFSET(Full_Print,0,0,Last_Row)</definedName>
    <definedName name="_xlnm.Print_Titles">#N/A</definedName>
    <definedName name="print1" localSheetId="6" hidden="1">{#N/A,#N/A,FALSE,"Financial";#N/A,#N/A,FALSE,"Balance Sheet";#N/A,#N/A,FALSE,"Income stmt";#N/A,#N/A,FALSE,"Ratio"}</definedName>
    <definedName name="print1" hidden="1">{#N/A,#N/A,FALSE,"Financial";#N/A,#N/A,FALSE,"Balance Sheet";#N/A,#N/A,FALSE,"Income stmt";#N/A,#N/A,FALSE,"Ratio"}</definedName>
    <definedName name="process">#REF!</definedName>
    <definedName name="ProcessBenchmarks">#REF!</definedName>
    <definedName name="ProcessList">#REF!</definedName>
    <definedName name="ProcessListTMP">#REF!</definedName>
    <definedName name="ProcessNames_Tulsa">#REF!</definedName>
    <definedName name="ProcessOrgs_Bangalore">#REF!</definedName>
    <definedName name="ProcessOrgs_Krakow">#REF!</definedName>
    <definedName name="ProcessOrgs_Shanghai">#REF!</definedName>
    <definedName name="ProcessOrgs_Template">#REF!</definedName>
    <definedName name="ProcessOrgs_Tulsa">#REF!</definedName>
    <definedName name="product_form">#REF!</definedName>
    <definedName name="PROPIS">#REF!</definedName>
    <definedName name="PROPNIS">#REF!</definedName>
    <definedName name="PT">#REF!</definedName>
    <definedName name="PTIAMS">#REF!</definedName>
    <definedName name="PTIBCS">#REF!</definedName>
    <definedName name="PTICT">#REF!</definedName>
    <definedName name="PTIHD">#REF!</definedName>
    <definedName name="PTIIBMHW">#REF!</definedName>
    <definedName name="PTIIBMSW">#REF!</definedName>
    <definedName name="PTIMR">#REF!</definedName>
    <definedName name="PTINS">#REF!</definedName>
    <definedName name="PTIOEMHW">#REF!</definedName>
    <definedName name="PTIOEMSW">#REF!</definedName>
    <definedName name="PTISUB">#REF!</definedName>
    <definedName name="PTITRAV">#REF!</definedName>
    <definedName name="PUC">#REF!</definedName>
    <definedName name="q"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q"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Q_TPS_Dashboard_Full_Weekly_View">#REF!</definedName>
    <definedName name="qq" localSheetId="6" hidden="1">{#N/A,#N/A,FALSE,"Consol.";#N/A,#N/A,FALSE,"EM";#N/A,#N/A,FALSE,"Reagents";#N/A,#N/A,FALSE,"UK";#N/A,#N/A,FALSE,"Raritan";#N/A,#N/A,FALSE,"Germany"}</definedName>
    <definedName name="qq" hidden="1">{#N/A,#N/A,FALSE,"Consol.";#N/A,#N/A,FALSE,"EM";#N/A,#N/A,FALSE,"Reagents";#N/A,#N/A,FALSE,"UK";#N/A,#N/A,FALSE,"Raritan";#N/A,#N/A,FALSE,"Germany"}</definedName>
    <definedName name="qqa" localSheetId="6" hidden="1">{#N/A,#N/A,FALSE,"Consol.";#N/A,#N/A,FALSE,"EM";#N/A,#N/A,FALSE,"Reagent";#N/A,#N/A,FALSE,"Raritan";#N/A,#N/A,FALSE,"UK";#N/A,#N/A,FALSE,"Germany"}</definedName>
    <definedName name="qqa" hidden="1">{#N/A,#N/A,FALSE,"Consol.";#N/A,#N/A,FALSE,"EM";#N/A,#N/A,FALSE,"Reagent";#N/A,#N/A,FALSE,"Raritan";#N/A,#N/A,FALSE,"UK";#N/A,#N/A,FALSE,"Germany"}</definedName>
    <definedName name="qqq"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qqq"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qqqq" localSheetId="6" hidden="1">{#N/A,#N/A,FALSE,"Consol.";#N/A,#N/A,FALSE,"EM";#N/A,#N/A,FALSE,"Reagent";#N/A,#N/A,FALSE,"Raritan";#N/A,#N/A,FALSE,"UK";#N/A,#N/A,FALSE,"Germany"}</definedName>
    <definedName name="qqqq" hidden="1">{#N/A,#N/A,FALSE,"Consol.";#N/A,#N/A,FALSE,"EM";#N/A,#N/A,FALSE,"Reagent";#N/A,#N/A,FALSE,"Raritan";#N/A,#N/A,FALSE,"UK";#N/A,#N/A,FALSE,"Germany"}</definedName>
    <definedName name="qqqqq"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qqqqq"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qtot">#REF!</definedName>
    <definedName name="Quarterly" localSheetId="6" hidden="1">{"Annual",#N/A,FALSE,"Sales &amp; Market";"Quarterly",#N/A,FALSE,"Sales &amp; Market"}</definedName>
    <definedName name="Quarterly" hidden="1">{"Annual",#N/A,FALSE,"Sales &amp; Market";"Quarterly",#N/A,FALSE,"Sales &amp; Market"}</definedName>
    <definedName name="Quarterly1" localSheetId="6" hidden="1">{"Annual",#N/A,FALSE,"Sales &amp; Market";"Quarterly",#N/A,FALSE,"Sales &amp; Market"}</definedName>
    <definedName name="Quarterly1" hidden="1">{"Annual",#N/A,FALSE,"Sales &amp; Market";"Quarterly",#N/A,FALSE,"Sales &amp; Market"}</definedName>
    <definedName name="QueueEnd">#REF!</definedName>
    <definedName name="QueueStart">#REF!</definedName>
    <definedName name="qw"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qw"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RAAMS">#REF!</definedName>
    <definedName name="RABCS">#REF!</definedName>
    <definedName name="RACT">#REF!</definedName>
    <definedName name="RAHD">#REF!</definedName>
    <definedName name="RAIBMHW">#REF!</definedName>
    <definedName name="RAIBMSW">#REF!</definedName>
    <definedName name="RAMR">#REF!</definedName>
    <definedName name="rank_sup" localSheetId="6">OFFSET(value_sup,0,1)</definedName>
    <definedName name="rank_sup">OFFSET(value_sup,0,1)</definedName>
    <definedName name="RANS">#REF!</definedName>
    <definedName name="RAOEMHW">#REF!</definedName>
    <definedName name="RAOEMSW">#REF!</definedName>
    <definedName name="RASUB">#REF!</definedName>
    <definedName name="RateCard_AdminOverhead">#REF!</definedName>
    <definedName name="RateCard_AgentHours">#REF!</definedName>
    <definedName name="RateCard_AICategoryDevelopment">#REF!</definedName>
    <definedName name="RateCard_Commission">#REF!</definedName>
    <definedName name="RateCard_Fees_AudioHour">#REF!</definedName>
    <definedName name="RateCard_Fees_Bandwidth">#REF!</definedName>
    <definedName name="RateCard_Fees_EncryptionAtRest">#REF!</definedName>
    <definedName name="RateCard_Fees_IPWhitelisting">#REF!</definedName>
    <definedName name="RateCard_Fees_ITSetupPerChannel">#REF!</definedName>
    <definedName name="RateCard_Fees_LanguagePack">#REF!</definedName>
    <definedName name="RateCard_Fees_Other">#REF!</definedName>
    <definedName name="RateCard_Fees_RPSCoach">#REF!</definedName>
    <definedName name="RateCard_Fees_SpeakerSeparation">#REF!</definedName>
    <definedName name="RateCard_Fees_SSO">#REF!</definedName>
    <definedName name="RateCard_Fees_StereoLicense">#REF!</definedName>
    <definedName name="RateCard_Fees_TFA">#REF!</definedName>
    <definedName name="RateCard_Fees_TPAsia">#REF!</definedName>
    <definedName name="RateCard_FlatOverhead">#REF!</definedName>
    <definedName name="RateCard_OrecX_ASANoCallRecording">#REF!</definedName>
    <definedName name="RateCard_OrecX_ASAWithCallRecording">#REF!</definedName>
    <definedName name="RateCard_OrecX_CallRecording">#REF!</definedName>
    <definedName name="RateCard_OrecX_ImpSetup">#REF!</definedName>
    <definedName name="RateCard_OrecX_MgmtSetup">#REF!</definedName>
    <definedName name="RateCard_OrecX_TrainingSetup">#REF!</definedName>
    <definedName name="RateCard_OrecX_YAdapter">#REF!</definedName>
    <definedName name="RateCard_QAOnlyMult">#REF!</definedName>
    <definedName name="RateCard_RecordingSources">#REF!</definedName>
    <definedName name="RateCard_SMBCost">#REF!</definedName>
    <definedName name="RateCard_SMBMax">#REF!</definedName>
    <definedName name="RateCard_TextIngestionHourDivide">#REF!</definedName>
    <definedName name="RateCard_UpliftNames">#REF!</definedName>
    <definedName name="RateDR">#REF!</definedName>
    <definedName name="RatePH">#REF!</definedName>
    <definedName name="RateUS">#REF!</definedName>
    <definedName name="RATRAV">#REF!</definedName>
    <definedName name="Reagents" localSheetId="6" hidden="1">{#N/A,#N/A,FALSE,"Consol.";#N/A,#N/A,FALSE,"Roch-EM";#N/A,#N/A,FALSE,"Reagents";#N/A,#N/A,FALSE,"Cardiff";#N/A,#N/A,FALSE,"Germany";#N/A,#N/A,FALSE,"Raitan";#N/A,#N/A,FALSE,"CTS";#N/A,#N/A,FALSE,"IM";#N/A,#N/A,FALSE,"Quality";#N/A,#N/A,FALSE,"Logistics"}</definedName>
    <definedName name="Reagents" hidden="1">{#N/A,#N/A,FALSE,"Consol.";#N/A,#N/A,FALSE,"Roch-EM";#N/A,#N/A,FALSE,"Reagents";#N/A,#N/A,FALSE,"Cardiff";#N/A,#N/A,FALSE,"Germany";#N/A,#N/A,FALSE,"Raitan";#N/A,#N/A,FALSE,"CTS";#N/A,#N/A,FALSE,"IM";#N/A,#N/A,FALSE,"Quality";#N/A,#N/A,FALSE,"Logistics"}</definedName>
    <definedName name="refCosts">#REF!</definedName>
    <definedName name="refCountryList">#REF!</definedName>
    <definedName name="refDeliveryTeam">#REF!</definedName>
    <definedName name="ReferenceColumn1">#REF!</definedName>
    <definedName name="ReferenceHeader">#REF!</definedName>
    <definedName name="ReferencePoint">#REF!</definedName>
    <definedName name="refProcessTeam">#REF!</definedName>
    <definedName name="refTransformationList">#REF!</definedName>
    <definedName name="Region">#REF!</definedName>
    <definedName name="REN">#REF!</definedName>
    <definedName name="RET">#REF!</definedName>
    <definedName name="RETEARNS">#REF!</definedName>
    <definedName name="Rev_Major">#REF!</definedName>
    <definedName name="RKS">#REF!</definedName>
    <definedName name="Roles">#REF!</definedName>
    <definedName name="Roles_Roles">#REF!</definedName>
    <definedName name="Roundup_FTP_PerChannel">#REF!</definedName>
    <definedName name="rrr" localSheetId="6"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rrr"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rrrr"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rrrr"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rrrrrr" localSheetId="6" hidden="1">{#N/A,#N/A,FALSE,"Consol.";#N/A,#N/A,FALSE,"EM";#N/A,#N/A,FALSE,"Reagent";#N/A,#N/A,FALSE,"Raritan";#N/A,#N/A,FALSE,"UK";#N/A,#N/A,FALSE,"Germany"}</definedName>
    <definedName name="rrrrrr" hidden="1">{#N/A,#N/A,FALSE,"Consol.";#N/A,#N/A,FALSE,"EM";#N/A,#N/A,FALSE,"Reagent";#N/A,#N/A,FALSE,"Raritan";#N/A,#N/A,FALSE,"UK";#N/A,#N/A,FALSE,"Germany"}</definedName>
    <definedName name="RT">#REF!</definedName>
    <definedName name="RW">#REF!</definedName>
    <definedName name="s" localSheetId="6" hidden="1">{#N/A,#N/A,FALSE,"Consol.";#N/A,#N/A,FALSE,"EM";#N/A,#N/A,FALSE,"Reagent";#N/A,#N/A,FALSE,"Raritan";#N/A,#N/A,FALSE,"UK";#N/A,#N/A,FALSE,"Germany"}</definedName>
    <definedName name="s" hidden="1">{#N/A,#N/A,FALSE,"Consol.";#N/A,#N/A,FALSE,"EM";#N/A,#N/A,FALSE,"Reagent";#N/A,#N/A,FALSE,"Raritan";#N/A,#N/A,FALSE,"UK";#N/A,#N/A,FALSE,"Germany"}</definedName>
    <definedName name="Sales">#REF!</definedName>
    <definedName name="SAPBEXrevision" hidden="1">1</definedName>
    <definedName name="SAPBEXsysID" hidden="1">"LP5"</definedName>
    <definedName name="SAPBEXwbID" hidden="1">"BVZZNL1GNIMFMQZ41QEZW9RTP"</definedName>
    <definedName name="Sch_Challenge_Factor">#REF!</definedName>
    <definedName name="Scope">#REF!</definedName>
    <definedName name="Scoring">#REF!</definedName>
    <definedName name="sd" localSheetId="6" hidden="1">{#N/A,#N/A,FALSE,"Consol.";#N/A,#N/A,FALSE,"EM";#N/A,#N/A,FALSE,"Reagent";#N/A,#N/A,FALSE,"Raritan";#N/A,#N/A,FALSE,"UK";#N/A,#N/A,FALSE,"Germany"}</definedName>
    <definedName name="sd" hidden="1">{#N/A,#N/A,FALSE,"Consol.";#N/A,#N/A,FALSE,"EM";#N/A,#N/A,FALSE,"Reagent";#N/A,#N/A,FALSE,"Raritan";#N/A,#N/A,FALSE,"UK";#N/A,#N/A,FALSE,"Germany"}</definedName>
    <definedName name="SDanjksa" localSheetId="6" hidden="1">{#N/A,#N/A,FALSE,"Consol.";#N/A,#N/A,FALSE,"EM";#N/A,#N/A,FALSE,"Reagents";#N/A,#N/A,FALSE,"UK";#N/A,#N/A,FALSE,"Raritan";#N/A,#N/A,FALSE,"Germany"}</definedName>
    <definedName name="SDanjksa" hidden="1">{#N/A,#N/A,FALSE,"Consol.";#N/A,#N/A,FALSE,"EM";#N/A,#N/A,FALSE,"Reagents";#N/A,#N/A,FALSE,"UK";#N/A,#N/A,FALSE,"Raritan";#N/A,#N/A,FALSE,"Germany"}</definedName>
    <definedName name="sdf" localSheetId="6" hidden="1">{#N/A,#N/A,FALSE,"Sales"}</definedName>
    <definedName name="sdf" hidden="1">{#N/A,#N/A,FALSE,"Sales"}</definedName>
    <definedName name="sdfasdfds" localSheetId="6" hidden="1">{#N/A,#N/A,FALSE,"Consol.";#N/A,#N/A,FALSE,"EM";#N/A,#N/A,FALSE,"Reagents";#N/A,#N/A,FALSE,"UK";#N/A,#N/A,FALSE,"Raritan";#N/A,#N/A,FALSE,"Germany"}</definedName>
    <definedName name="sdfasdfds" hidden="1">{#N/A,#N/A,FALSE,"Consol.";#N/A,#N/A,FALSE,"EM";#N/A,#N/A,FALSE,"Reagents";#N/A,#N/A,FALSE,"UK";#N/A,#N/A,FALSE,"Raritan";#N/A,#N/A,FALSE,"Germany"}</definedName>
    <definedName name="sdgds" localSheetId="6" hidden="1">{#N/A,#N/A,FALSE,"Consol.";#N/A,#N/A,FALSE,"EM";#N/A,#N/A,FALSE,"Reagent";#N/A,#N/A,FALSE,"Raritan";#N/A,#N/A,FALSE,"UK";#N/A,#N/A,FALSE,"Germany"}</definedName>
    <definedName name="sdgds" hidden="1">{#N/A,#N/A,FALSE,"Consol.";#N/A,#N/A,FALSE,"EM";#N/A,#N/A,FALSE,"Reagent";#N/A,#N/A,FALSE,"Raritan";#N/A,#N/A,FALSE,"UK";#N/A,#N/A,FALSE,"Germany"}</definedName>
    <definedName name="sdr"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sdr"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sds" localSheetId="6" hidden="1">{#N/A,#N/A,FALSE,"Consol.";#N/A,#N/A,FALSE,"EM";#N/A,#N/A,FALSE,"Reagent";#N/A,#N/A,FALSE,"Raritan";#N/A,#N/A,FALSE,"UK";#N/A,#N/A,FALSE,"Germany"}</definedName>
    <definedName name="sds" hidden="1">{#N/A,#N/A,FALSE,"Consol.";#N/A,#N/A,FALSE,"EM";#N/A,#N/A,FALSE,"Reagent";#N/A,#N/A,FALSE,"Raritan";#N/A,#N/A,FALSE,"UK";#N/A,#N/A,FALSE,"Germany"}</definedName>
    <definedName name="SDSA">#REF!</definedName>
    <definedName name="sdss">#REF!</definedName>
    <definedName name="sec" localSheetId="6" hidden="1">{#N/A,#N/A,FALSE,"Consol.";#N/A,#N/A,FALSE,"EM";#N/A,#N/A,FALSE,"Reagent";#N/A,#N/A,FALSE,"Raritan";#N/A,#N/A,FALSE,"UK";#N/A,#N/A,FALSE,"Germany"}</definedName>
    <definedName name="sec" hidden="1">{#N/A,#N/A,FALSE,"Consol.";#N/A,#N/A,FALSE,"EM";#N/A,#N/A,FALSE,"Reagent";#N/A,#N/A,FALSE,"Raritan";#N/A,#N/A,FALSE,"UK";#N/A,#N/A,FALSE,"Germany"}</definedName>
    <definedName name="seg"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seg"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SelectedCountry">#REF!</definedName>
    <definedName name="SelectedRate">#REF!</definedName>
    <definedName name="sencount" hidden="1">3</definedName>
    <definedName name="seventy">#REF!</definedName>
    <definedName name="sfd" localSheetId="6" hidden="1">{#N/A,#N/A,FALSE,"Consol.";#N/A,#N/A,FALSE,"EM";#N/A,#N/A,FALSE,"Reagent";#N/A,#N/A,FALSE,"Raritan";#N/A,#N/A,FALSE,"UK";#N/A,#N/A,FALSE,"Germany"}</definedName>
    <definedName name="sfd" hidden="1">{#N/A,#N/A,FALSE,"Consol.";#N/A,#N/A,FALSE,"EM";#N/A,#N/A,FALSE,"Reagent";#N/A,#N/A,FALSE,"Raritan";#N/A,#N/A,FALSE,"UK";#N/A,#N/A,FALSE,"Germany"}</definedName>
    <definedName name="shelf_life_months">#REF!</definedName>
    <definedName name="Shrinkage">#REF!</definedName>
    <definedName name="sixty">#REF!</definedName>
    <definedName name="SkillIntFStart">#REF!</definedName>
    <definedName name="SkillSumEnd">#REF!</definedName>
    <definedName name="SkillSumFStart">#REF!</definedName>
    <definedName name="SkillSummFStart">#REF!</definedName>
    <definedName name="SMZA">#REF!</definedName>
    <definedName name="smzaa">#REF!</definedName>
    <definedName name="SMZB">#REF!</definedName>
    <definedName name="SMZC">#REF!</definedName>
    <definedName name="SOCT1">#REF!</definedName>
    <definedName name="SOCT2">#REF!</definedName>
    <definedName name="SOCT3">#REF!</definedName>
    <definedName name="SOCT4">#REF!</definedName>
    <definedName name="SOCT5">#REF!</definedName>
    <definedName name="SOCT6">#REF!</definedName>
    <definedName name="SOKatz">#REF!</definedName>
    <definedName name="Solutions">#REF!</definedName>
    <definedName name="sortcol">#REF!</definedName>
    <definedName name="SpeechToText">#REF!</definedName>
    <definedName name="sss" localSheetId="6" hidden="1">{#N/A,#N/A,FALSE,"Consol.";#N/A,#N/A,FALSE,"EM";#N/A,#N/A,FALSE,"Reagent";#N/A,#N/A,FALSE,"Raritan";#N/A,#N/A,FALSE,"UK";#N/A,#N/A,FALSE,"Germany"}</definedName>
    <definedName name="sss" hidden="1">{#N/A,#N/A,FALSE,"Consol.";#N/A,#N/A,FALSE,"EM";#N/A,#N/A,FALSE,"Reagent";#N/A,#N/A,FALSE,"Raritan";#N/A,#N/A,FALSE,"UK";#N/A,#N/A,FALSE,"Germany"}</definedName>
    <definedName name="StartDeliveryDate">#REF!</definedName>
    <definedName name="Status">#REF!</definedName>
    <definedName name="STDEBT">#REF!</definedName>
    <definedName name="subgroup" hidden="1">#REF!</definedName>
    <definedName name="SUBRECBL">#REF!</definedName>
    <definedName name="subscoring">#REF!</definedName>
    <definedName name="Sueldos">#REF!</definedName>
    <definedName name="SummaryEnd">#REF!</definedName>
    <definedName name="SummaryFStart">#REF!</definedName>
    <definedName name="supplier_plant_name">#REF!</definedName>
    <definedName name="Support4" localSheetId="6"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ort4"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V_AUTO_CONN_CATALOG" hidden="1">"VIPBIM076"</definedName>
    <definedName name="SV_AUTO_CONN_SERVER" hidden="1">""</definedName>
    <definedName name="SV_ENCPT_AUTO_CONN_PASSWORD" hidden="1">"083096084083070124106113058056052051050062"</definedName>
    <definedName name="SV_ENCPT_AUTO_CONN_USER" hidden="1">"095094088070084124106113"</definedName>
    <definedName name="SV_ENCPT_LOGON_PWD" hidden="1">"078104085088070"</definedName>
    <definedName name="SV_ENCPT_LOGON_USER" hidden="1">"095094088070084"</definedName>
    <definedName name="SV_ENCPT_REPORT_MAINT_LEVEL" hidden="1">"076078091070078076"</definedName>
    <definedName name="SV_ENCPT_USER_ACCESS_LEVEL_ID" hidden="1">"069085100074070059"</definedName>
    <definedName name="SV_ENCPT_VIP_COMPANY_NUMBER" hidden="1">"085086071070084054056055"</definedName>
    <definedName name="SV_ENCPT_VIP_DATA_PATH" hidden="1">"095089070085074118059093082114105111105110121"</definedName>
    <definedName name="SV_REPORT_CODE" hidden="1">""</definedName>
    <definedName name="SV_REPORT_ID" hidden="1">"2"</definedName>
    <definedName name="SV_REPORT_NAME" hidden="1">"24Help PV2"</definedName>
    <definedName name="SV_SOLUTION_ID" hidden="1">"7"</definedName>
    <definedName name="SystemCost" localSheetId="6">OFFSET([0]!BPMSFieldNames, 1, 0, [0]!BPMSRecordCount, COLUMNS(!BPMSFieldNames))</definedName>
    <definedName name="SystemCost">OFFSET([0]!BPMSFieldNames, 1, 0, [0]!BPMSRecordCount, COLUMNS(!BPMSFieldNames))</definedName>
    <definedName name="t"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t"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TableName">"Dummy"</definedName>
    <definedName name="TasaFW">#REF!</definedName>
    <definedName name="tax" localSheetId="6"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tax"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ten">#REF!</definedName>
    <definedName name="test" localSheetId="6" hidden="1">{#N/A,#N/A,FALSE,"Consol.";#N/A,#N/A,FALSE,"Roch-EM";#N/A,#N/A,FALSE,"Reagents";#N/A,#N/A,FALSE,"Cardiff";#N/A,#N/A,FALSE,"Germany";#N/A,#N/A,FALSE,"Raitan";#N/A,#N/A,FALSE,"CTS";#N/A,#N/A,FALSE,"IM";#N/A,#N/A,FALSE,"Quality";#N/A,#N/A,FALSE,"Logistics"}</definedName>
    <definedName name="test" hidden="1">{#N/A,#N/A,FALSE,"Consol.";#N/A,#N/A,FALSE,"Roch-EM";#N/A,#N/A,FALSE,"Reagents";#N/A,#N/A,FALSE,"Cardiff";#N/A,#N/A,FALSE,"Germany";#N/A,#N/A,FALSE,"Raitan";#N/A,#N/A,FALSE,"CTS";#N/A,#N/A,FALSE,"IM";#N/A,#N/A,FALSE,"Quality";#N/A,#N/A,FALSE,"Logistics"}</definedName>
    <definedName name="test1" hidden="1">#REF!</definedName>
    <definedName name="test2" hidden="1">#REF!</definedName>
    <definedName name="tests" hidden="1">#REF!</definedName>
    <definedName name="TextRefCopyRangeCount" hidden="1">7</definedName>
    <definedName name="TFL">#REF!</definedName>
    <definedName name="thirty">#REF!</definedName>
    <definedName name="Tim" localSheetId="6" hidden="1">{#N/A,#N/A,FALSE,"Consol.";#N/A,#N/A,FALSE,"EM";#N/A,#N/A,FALSE,"Reagent";#N/A,#N/A,FALSE,"Raritan";#N/A,#N/A,FALSE,"UK";#N/A,#N/A,FALSE,"Germany"}</definedName>
    <definedName name="Tim" hidden="1">{#N/A,#N/A,FALSE,"Consol.";#N/A,#N/A,FALSE,"EM";#N/A,#N/A,FALSE,"Reagent";#N/A,#N/A,FALSE,"Raritan";#N/A,#N/A,FALSE,"UK";#N/A,#N/A,FALSE,"Germany"}</definedName>
    <definedName name="time">#REF!</definedName>
    <definedName name="Title1">#REF!</definedName>
    <definedName name="Title2">#REF!</definedName>
    <definedName name="Title3">#REF!</definedName>
    <definedName name="topcell">#REF!</definedName>
    <definedName name="Total_Payment" localSheetId="6">Scheduled_Payment+Extra_Payment</definedName>
    <definedName name="Total_Payment">Scheduled_Payment+Extra_Payment</definedName>
    <definedName name="Total_PFP_Price">#REF!</definedName>
    <definedName name="Total_Phone_Volume">#REF!</definedName>
    <definedName name="TOTALAnnualVolume">#REF!</definedName>
    <definedName name="totaldays">#REF!</definedName>
    <definedName name="totalhours">#REF!</definedName>
    <definedName name="TP_SharedBenefit_Percent">#REF!</definedName>
    <definedName name="TPM">#REF!</definedName>
    <definedName name="TransformationList">#REF!</definedName>
    <definedName name="TransitionFTELanguage">#REF!</definedName>
    <definedName name="TransitionGoLiveDates">#REF!</definedName>
    <definedName name="TransitionGroups">#REF!</definedName>
    <definedName name="transitionstaff">#REF!</definedName>
    <definedName name="transitionstaffdescriptions">#REF!</definedName>
    <definedName name="TransitionStartDates">#REF!</definedName>
    <definedName name="TransitionTeamsGroup1">#REF!</definedName>
    <definedName name="TransitionTeamsGroup2">#REF!</definedName>
    <definedName name="TransitionTeamsGroup3">#REF!</definedName>
    <definedName name="TransitionTeamsGroup4">#REF!</definedName>
    <definedName name="Translate">#REF!</definedName>
    <definedName name="TREASTK">#REF!</definedName>
    <definedName name="TTDaysPerMonth">#REF!</definedName>
    <definedName name="ttttt" localSheetId="6" hidden="1">{#N/A,#N/A,FALSE,"Consol.";#N/A,#N/A,FALSE,"EM";#N/A,#N/A,FALSE,"Reagent";#N/A,#N/A,FALSE,"Raritan";#N/A,#N/A,FALSE,"UK";#N/A,#N/A,FALSE,"Germany"}</definedName>
    <definedName name="ttttt" hidden="1">{#N/A,#N/A,FALSE,"Consol.";#N/A,#N/A,FALSE,"EM";#N/A,#N/A,FALSE,"Reagent";#N/A,#N/A,FALSE,"Raritan";#N/A,#N/A,FALSE,"UK";#N/A,#N/A,FALSE,"Germany"}</definedName>
    <definedName name="twenty">#REF!</definedName>
    <definedName name="TXASSTS">#REF!</definedName>
    <definedName name="Typeofevent">#REF!</definedName>
    <definedName name="u" localSheetId="6" hidden="1">{#N/A,#N/A,FALSE,"Consol.";#N/A,#N/A,FALSE,"EM";#N/A,#N/A,FALSE,"Reagent";#N/A,#N/A,FALSE,"Raritan";#N/A,#N/A,FALSE,"UK";#N/A,#N/A,FALSE,"Germany"}</definedName>
    <definedName name="u" hidden="1">{#N/A,#N/A,FALSE,"Consol.";#N/A,#N/A,FALSE,"EM";#N/A,#N/A,FALSE,"Reagent";#N/A,#N/A,FALSE,"Raritan";#N/A,#N/A,FALSE,"UK";#N/A,#N/A,FALSE,"Germany"}</definedName>
    <definedName name="UNIQUE">#REF!</definedName>
    <definedName name="USD">#REF!</definedName>
    <definedName name="uuuuu" localSheetId="6" hidden="1">{#N/A,#N/A,FALSE,"Consol.";#N/A,#N/A,FALSE,"EM";#N/A,#N/A,FALSE,"Reagents";#N/A,#N/A,FALSE,"UK";#N/A,#N/A,FALSE,"Raritan";#N/A,#N/A,FALSE,"Germany"}</definedName>
    <definedName name="uuuuu" hidden="1">{#N/A,#N/A,FALSE,"Consol.";#N/A,#N/A,FALSE,"EM";#N/A,#N/A,FALSE,"Reagents";#N/A,#N/A,FALSE,"UK";#N/A,#N/A,FALSE,"Raritan";#N/A,#N/A,FALSE,"Germany"}</definedName>
    <definedName name="v" localSheetId="6" hidden="1">{#N/A,#N/A,FALSE,"Consol.";#N/A,#N/A,FALSE,"EM";#N/A,#N/A,FALSE,"Reagent";#N/A,#N/A,FALSE,"Raritan";#N/A,#N/A,FALSE,"UK";#N/A,#N/A,FALSE,"Germany"}</definedName>
    <definedName name="v" hidden="1">{#N/A,#N/A,FALSE,"Consol.";#N/A,#N/A,FALSE,"EM";#N/A,#N/A,FALSE,"Reagent";#N/A,#N/A,FALSE,"Raritan";#N/A,#N/A,FALSE,"UK";#N/A,#N/A,FALSE,"Germany"}</definedName>
    <definedName name="Validation_CXQA">#REF!</definedName>
    <definedName name="Validation_MarginTarget">#REF!</definedName>
    <definedName name="Validation_OtherNameError">#REF!</definedName>
    <definedName name="Validation_OtherNameErrorSupported">#REF!</definedName>
    <definedName name="Validation_RecordingSourceDefault">#REF!</definedName>
    <definedName name="Validation_SMB">#REF!</definedName>
    <definedName name="Validation_YesNo">#REF!</definedName>
    <definedName name="Validation_YesNoCustom">#REF!</definedName>
    <definedName name="value_sup">#REF!</definedName>
    <definedName name="Values_Entered" localSheetId="6">IF(Loan_Amount*Interest_Rate*Loan_Years*Loan_Start&gt;0,1,0)</definedName>
    <definedName name="Values_Entered">IF(Loan_Amount*Interest_Rate*Loan_Years*Loan_Start&gt;0,1,0)</definedName>
    <definedName name="VDNFootnoteStart">#REF!</definedName>
    <definedName name="VDNIntEnd">#REF!</definedName>
    <definedName name="VDNIntFStart">#REF!</definedName>
    <definedName name="VDNSumEnd">#REF!</definedName>
    <definedName name="VDNSumFStart">#REF!</definedName>
    <definedName name="VDNSummaryEnd">#REF!</definedName>
    <definedName name="VDNSummaryFStart">#REF!</definedName>
    <definedName name="VDNSummEnd">#REF!</definedName>
    <definedName name="Version">#REF!</definedName>
    <definedName name="VESTA">#REF!</definedName>
    <definedName name="VoiceRatio">#REF!</definedName>
    <definedName name="VolumeDrivers">#REF!</definedName>
    <definedName name="VolumeMeasures">#REF!</definedName>
    <definedName name="volumes" localSheetId="6" hidden="1">{#N/A,#N/A,FALSE,"Consol.";#N/A,#N/A,FALSE,"EM";#N/A,#N/A,FALSE,"Reagents";#N/A,#N/A,FALSE,"UK";#N/A,#N/A,FALSE,"Raritan";#N/A,#N/A,FALSE,"Germany"}</definedName>
    <definedName name="volumes" hidden="1">{#N/A,#N/A,FALSE,"Consol.";#N/A,#N/A,FALSE,"EM";#N/A,#N/A,FALSE,"Reagents";#N/A,#N/A,FALSE,"UK";#N/A,#N/A,FALSE,"Raritan";#N/A,#N/A,FALSE,"Germany"}</definedName>
    <definedName name="VPOut">#REF!</definedName>
    <definedName name="vv" localSheetId="6" hidden="1">{#N/A,#N/A,FALSE,"Consol.";#N/A,#N/A,FALSE,"EM";#N/A,#N/A,FALSE,"Reagent";#N/A,#N/A,FALSE,"Raritan";#N/A,#N/A,FALSE,"UK";#N/A,#N/A,FALSE,"Germany"}</definedName>
    <definedName name="vv" hidden="1">{#N/A,#N/A,FALSE,"Consol.";#N/A,#N/A,FALSE,"EM";#N/A,#N/A,FALSE,"Reagent";#N/A,#N/A,FALSE,"Raritan";#N/A,#N/A,FALSE,"UK";#N/A,#N/A,FALSE,"Germany"}</definedName>
    <definedName name="vvv"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vvv"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vvvv"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vvvv"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vvvvvvvv" localSheetId="6" hidden="1">{#N/A,#N/A,FALSE,"Consol.";#N/A,#N/A,FALSE,"Roch-EM";#N/A,#N/A,FALSE,"Reagents";#N/A,#N/A,FALSE,"Cardiff";#N/A,#N/A,FALSE,"Germany";#N/A,#N/A,FALSE,"Raitan";#N/A,#N/A,FALSE,"CTS";#N/A,#N/A,FALSE,"IM";#N/A,#N/A,FALSE,"Quality";#N/A,#N/A,FALSE,"Logistics"}</definedName>
    <definedName name="vvvvvvvv" hidden="1">{#N/A,#N/A,FALSE,"Consol.";#N/A,#N/A,FALSE,"Roch-EM";#N/A,#N/A,FALSE,"Reagents";#N/A,#N/A,FALSE,"Cardiff";#N/A,#N/A,FALSE,"Germany";#N/A,#N/A,FALSE,"Raitan";#N/A,#N/A,FALSE,"CTS";#N/A,#N/A,FALSE,"IM";#N/A,#N/A,FALSE,"Quality";#N/A,#N/A,FALSE,"Logistics"}</definedName>
    <definedName name="WeekList">#REF!</definedName>
    <definedName name="werqwer"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werqwer"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work" localSheetId="6" hidden="1">{#N/A,#N/A,FALSE,"Consol.";#N/A,#N/A,FALSE,"EM";#N/A,#N/A,FALSE,"Reagents";#N/A,#N/A,FALSE,"UK";#N/A,#N/A,FALSE,"Raritan";#N/A,#N/A,FALSE,"Germany"}</definedName>
    <definedName name="work" hidden="1">{#N/A,#N/A,FALSE,"Consol.";#N/A,#N/A,FALSE,"EM";#N/A,#N/A,FALSE,"Reagents";#N/A,#N/A,FALSE,"UK";#N/A,#N/A,FALSE,"Raritan";#N/A,#N/A,FALSE,"Germany"}</definedName>
    <definedName name="workdayspermonth">#REF!</definedName>
    <definedName name="WorkedHours">#REF!</definedName>
    <definedName name="working"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working"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Workshee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Workshee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wrn.Actual._.Data._.Entry." localSheetId="6" hidden="1">{#N/A,#N/A,FALSE,"Sales"}</definedName>
    <definedName name="wrn.Actual._.Data._.Entry." hidden="1">{#N/A,#N/A,FALSE,"Sales"}</definedName>
    <definedName name="wrn.Annual_n_Quarterly." localSheetId="6" hidden="1">{"Annual",#N/A,FALSE,"Sales &amp; Market";"Quarterly",#N/A,FALSE,"Sales &amp; Market"}</definedName>
    <definedName name="wrn.Annual_n_Quarterly." hidden="1">{"Annual",#N/A,FALSE,"Sales &amp; Market";"Quarterly",#N/A,FALSE,"Sales &amp; Market"}</definedName>
    <definedName name="wrn.Consolinv." localSheetId="6" hidden="1">{#N/A,#N/A,FALSE,"Consol.";#N/A,#N/A,FALSE,"EM";#N/A,#N/A,FALSE,"Reagents";#N/A,#N/A,FALSE,"UK";#N/A,#N/A,FALSE,"Raritan";#N/A,#N/A,FALSE,"Germany"}</definedName>
    <definedName name="wrn.Consolinv." hidden="1">{#N/A,#N/A,FALSE,"Consol.";#N/A,#N/A,FALSE,"EM";#N/A,#N/A,FALSE,"Reagents";#N/A,#N/A,FALSE,"UK";#N/A,#N/A,FALSE,"Raritan";#N/A,#N/A,FALSE,"Germany"}</definedName>
    <definedName name="wrn.consollab." localSheetId="6" hidden="1">{#N/A,#N/A,FALSE,"Consol.";#N/A,#N/A,FALSE,"EM";#N/A,#N/A,FALSE,"Reagent";#N/A,#N/A,FALSE,"Raritan";#N/A,#N/A,FALSE,"UK";#N/A,#N/A,FALSE,"Germany"}</definedName>
    <definedName name="wrn.consollab." hidden="1">{#N/A,#N/A,FALSE,"Consol.";#N/A,#N/A,FALSE,"EM";#N/A,#N/A,FALSE,"Reagent";#N/A,#N/A,FALSE,"Raritan";#N/A,#N/A,FALSE,"UK";#N/A,#N/A,FALSE,"Germany"}</definedName>
    <definedName name="wrn.EOM._.Package."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wrn.EOM._.Package."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wrn.headcount." localSheetId="6" hidden="1">{#N/A,#N/A,FALSE,"Consol.";#N/A,#N/A,FALSE,"Roch-EM";#N/A,#N/A,FALSE,"Reagents";#N/A,#N/A,FALSE,"Cardiff";#N/A,#N/A,FALSE,"Germany";#N/A,#N/A,FALSE,"Raitan";#N/A,#N/A,FALSE,"CTS";#N/A,#N/A,FALSE,"IM";#N/A,#N/A,FALSE,"Quality";#N/A,#N/A,FALSE,"Logistics"}</definedName>
    <definedName name="wrn.headcount." hidden="1">{#N/A,#N/A,FALSE,"Consol.";#N/A,#N/A,FALSE,"Roch-EM";#N/A,#N/A,FALSE,"Reagents";#N/A,#N/A,FALSE,"Cardiff";#N/A,#N/A,FALSE,"Germany";#N/A,#N/A,FALSE,"Raitan";#N/A,#N/A,FALSE,"CTS";#N/A,#N/A,FALSE,"IM";#N/A,#N/A,FALSE,"Quality";#N/A,#N/A,FALSE,"Logistics"}</definedName>
    <definedName name="wrn.JU._.2003." localSheetId="6" hidden="1">{#N/A,#N/A,FALSE,"JU 03 Highlights";#N/A,#N/A,FALSE,"03 JU vs 03 MU";#N/A,#N/A,FALSE,"03JU v 03MU Comments";#N/A,#N/A,FALSE,"JU 2004 Key Issues";#N/A,#N/A,FALSE,"04JUvs03JU";#N/A,#N/A,FALSE,"JU 2004 Gr Spend";#N/A,#N/A,FALSE,"Headcount";#N/A,#N/A,FALSE,"00ACT-03 Conversions";#N/A,#N/A,FALSE,"02ACT-03 Conversions";#N/A,#N/A,FALSE,"Capital"}</definedName>
    <definedName name="wrn.JU._.2003." hidden="1">{#N/A,#N/A,FALSE,"JU 03 Highlights";#N/A,#N/A,FALSE,"03 JU vs 03 MU";#N/A,#N/A,FALSE,"03JU v 03MU Comments";#N/A,#N/A,FALSE,"JU 2004 Key Issues";#N/A,#N/A,FALSE,"04JUvs03JU";#N/A,#N/A,FALSE,"JU 2004 Gr Spend";#N/A,#N/A,FALSE,"Headcount";#N/A,#N/A,FALSE,"00ACT-03 Conversions";#N/A,#N/A,FALSE,"02ACT-03 Conversions";#N/A,#N/A,FALSE,"Capital"}</definedName>
    <definedName name="wrn.June._.Draft2._.bk" localSheetId="6"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June._.Draft2._.bk" hidden="1">{#N/A,#N/A,FALSE,"Trading Trends";#N/A,#N/A,FALSE,"Act vs Flash Statement";#N/A,#N/A,FALSE,"SST Ex HPC";#N/A,#N/A,FALSE,"SST HPC Only";#N/A,#N/A,FALSE,"SST SF Only";#N/A,#N/A,FALSE,"SST TOTAL";#N/A,#N/A,FALSE,"Fcst UBFLA Only";#N/A,#N/A,FALSE,"Fcst HPC";#N/A,#N/A,FALSE,"Fcst Slim Fast";#N/A,#N/A,FALSE,"Fcst UBFLA w HPC &amp; SL Fast";#N/A,#N/A,FALSE,"P&amp;L Country Matrix";#N/A,#N/A,FALSE,"UVG";#N/A,#N/A,FALSE,"Price Growth";#N/A,#N/A,FALSE,"UBFLA TC";#N/A,#N/A,FALSE,"BRA TC";#N/A,#N/A,FALSE,"RP TC";#N/A,#N/A,FALSE,"MEX TC";#N/A,#N/A,FALSE,"CHI TC";#N/A,#N/A,FALSE,"NO AND TC";#N/A,#N/A,FALSE,"SO AND TC";#N/A,#N/A,FALSE,"CAM TC";#N/A,#N/A,FALSE,"CAR TC";#N/A,#N/A,FALSE,"Total UBLA OCF";#N/A,#N/A,FALSE,"BRAZIL  OCF";#N/A,#N/A,FALSE,"RP OCF";#N/A,#N/A,FALSE,"MEXICO OCF";#N/A,#N/A,FALSE,"CHILE OCF";#N/A,#N/A,FALSE,"NO ANDINA OCF";#N/A,#N/A,FALSE,"SO AND  OCF";#N/A,#N/A,FALSE,"CENTRAL AM OCF";#N/A,#N/A,FALSE,"CARIBBEAN  OCF";#N/A,#N/A,FALSE,"NPS Variance";#N/A,#N/A,FALSE,"Culinary Brkdwn";#N/A,#N/A,FALSE,"Breakdown Graphs";#N/A,#N/A,FALSE,"Breakdown Graphs (2)"}</definedName>
    <definedName name="wrn.Labor._.Overhead." localSheetId="6" hidden="1">{#N/A,#N/A,FALSE,"Consol.";#N/A,#N/A,FALSE,"EM";#N/A,#N/A,FALSE,"Reagent";#N/A,#N/A,FALSE,"Raritan";#N/A,#N/A,FALSE,"UK";#N/A,#N/A,FALSE,"Germany"}</definedName>
    <definedName name="wrn.Labor._.Overhead." hidden="1">{#N/A,#N/A,FALSE,"Consol.";#N/A,#N/A,FALSE,"EM";#N/A,#N/A,FALSE,"Reagent";#N/A,#N/A,FALSE,"Raritan";#N/A,#N/A,FALSE,"UK";#N/A,#N/A,FALSE,"Germany"}</definedName>
    <definedName name="wrn.Long._.Report." localSheetId="6"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a" localSheetId="6" hidden="1">{#N/A,#N/A,TRUE,"Cover";#N/A,#N/A,TRUE,"Header (ld)";#N/A,#N/A,TRUE,"T&amp;O By Region";#N/A,#N/A,TRUE,"Region Charts ";#N/A,#N/A,TRUE,"T&amp;O London";#N/A,#N/A,TRUE,"AD Report";#N/A,#N/A,TRUE,"Var by OU"}</definedName>
    <definedName name="wrn.Long._.Report.a" hidden="1">{#N/A,#N/A,TRUE,"Cover";#N/A,#N/A,TRUE,"Header (ld)";#N/A,#N/A,TRUE,"T&amp;O By Region";#N/A,#N/A,TRUE,"Region Charts ";#N/A,#N/A,TRUE,"T&amp;O London";#N/A,#N/A,TRUE,"AD Report";#N/A,#N/A,TRUE,"Var by OU"}</definedName>
    <definedName name="wrn.Materials._.Labor._.Overhead."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wrn.Materials._.Labor._.Overhead."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wrn.print." localSheetId="6" hidden="1">{#N/A,#N/A,FALSE,"Financial";#N/A,#N/A,FALSE,"Balance Sheet";#N/A,#N/A,FALSE,"Income stmt";#N/A,#N/A,FALSE,"Ratio"}</definedName>
    <definedName name="wrn.print." hidden="1">{#N/A,#N/A,FALSE,"Financial";#N/A,#N/A,FALSE,"Balance Sheet";#N/A,#N/A,FALSE,"Income stmt";#N/A,#N/A,FALSE,"Ratio"}</definedName>
    <definedName name="wrn.Print._.all._.exhibits." localSheetId="6"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exhibits."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workpapers._.and._.exhibits." localSheetId="6"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workpapers._.and._.exhibits."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exhibits._.used._.in._.Report." localSheetId="6" hidden="1">{#N/A,#N/A,FALSE,"DCF Rev Exp flat 5";"Exhibit 1",#N/A,FALSE,"Rev Exp flat 5";"Exhibit 2",#N/A,FALSE,"Rev Exp flat 5";#N/A,#N/A,FALSE,"DCF Rev Exp to 6";"Exhibit 1",#N/A,FALSE,"Rev Exp to 6";"Exhibit 2",#N/A,FALSE,"Rev Exp to 6"}</definedName>
    <definedName name="wrn.Print._.exhibits._.used._.in._.Report." hidden="1">{#N/A,#N/A,FALSE,"DCF Rev Exp flat 5";"Exhibit 1",#N/A,FALSE,"Rev Exp flat 5";"Exhibit 2",#N/A,FALSE,"Rev Exp flat 5";#N/A,#N/A,FALSE,"DCF Rev Exp to 6";"Exhibit 1",#N/A,FALSE,"Rev Exp to 6";"Exhibit 2",#N/A,FALSE,"Rev Exp to 6"}</definedName>
    <definedName name="wrn.Short._.Report." localSheetId="6" hidden="1">{#N/A,#N/A,TRUE,"Cover";#N/A,#N/A,TRUE,"Header (eu)";#N/A,#N/A,TRUE,"Region Charts";#N/A,#N/A,TRUE,"T&amp;O By Region";#N/A,#N/A,TRUE,"AD Report"}</definedName>
    <definedName name="wrn.Short._.Report." hidden="1">{#N/A,#N/A,TRUE,"Cover";#N/A,#N/A,TRUE,"Header (eu)";#N/A,#N/A,TRUE,"Region Charts";#N/A,#N/A,TRUE,"T&amp;O By Region";#N/A,#N/A,TRUE,"AD Report"}</definedName>
    <definedName name="wrnprint1" localSheetId="6" hidden="1">{#N/A,#N/A,FALSE,"Financial";#N/A,#N/A,FALSE,"Balance Sheet";#N/A,#N/A,FALSE,"Income stmt";#N/A,#N/A,FALSE,"Ratio"}</definedName>
    <definedName name="wrnprint1" hidden="1">{#N/A,#N/A,FALSE,"Financial";#N/A,#N/A,FALSE,"Balance Sheet";#N/A,#N/A,FALSE,"Income stmt";#N/A,#N/A,FALSE,"Ratio"}</definedName>
    <definedName name="ww" localSheetId="6" hidden="1">{#N/A,#N/A,FALSE,"Consol.";#N/A,#N/A,FALSE,"Roch-EM";#N/A,#N/A,FALSE,"Reagents";#N/A,#N/A,FALSE,"Cardiff";#N/A,#N/A,FALSE,"Germany";#N/A,#N/A,FALSE,"Raitan";#N/A,#N/A,FALSE,"CTS";#N/A,#N/A,FALSE,"IM";#N/A,#N/A,FALSE,"Quality";#N/A,#N/A,FALSE,"Logistics"}</definedName>
    <definedName name="ww" hidden="1">{#N/A,#N/A,FALSE,"Consol.";#N/A,#N/A,FALSE,"Roch-EM";#N/A,#N/A,FALSE,"Reagents";#N/A,#N/A,FALSE,"Cardiff";#N/A,#N/A,FALSE,"Germany";#N/A,#N/A,FALSE,"Raitan";#N/A,#N/A,FALSE,"CTS";#N/A,#N/A,FALSE,"IM";#N/A,#N/A,FALSE,"Quality";#N/A,#N/A,FALSE,"Logistics"}</definedName>
    <definedName name="www" localSheetId="6" hidden="1">{#N/A,#N/A,FALSE,"Consol.";#N/A,#N/A,FALSE,"EM";#N/A,#N/A,FALSE,"Reagent";#N/A,#N/A,FALSE,"Raritan";#N/A,#N/A,FALSE,"UK";#N/A,#N/A,FALSE,"Germany"}</definedName>
    <definedName name="www" hidden="1">{#N/A,#N/A,FALSE,"Consol.";#N/A,#N/A,FALSE,"EM";#N/A,#N/A,FALSE,"Reagent";#N/A,#N/A,FALSE,"Raritan";#N/A,#N/A,FALSE,"UK";#N/A,#N/A,FALSE,"Germany"}</definedName>
    <definedName name="x" localSheetId="6" hidden="1">{#N/A,#N/A,FALSE,"JU 03 Highlights";#N/A,#N/A,FALSE,"03 JU vs 03 MU";#N/A,#N/A,FALSE,"03JU v 03MU Comments";#N/A,#N/A,FALSE,"JU 2004 Key Issues";#N/A,#N/A,FALSE,"04JUvs03JU";#N/A,#N/A,FALSE,"JU 2004 Gr Spend";#N/A,#N/A,FALSE,"Headcount";#N/A,#N/A,FALSE,"00ACT-03 Conversions";#N/A,#N/A,FALSE,"02ACT-03 Conversions";#N/A,#N/A,FALSE,"Capital"}</definedName>
    <definedName name="x" hidden="1">{#N/A,#N/A,FALSE,"JU 03 Highlights";#N/A,#N/A,FALSE,"03 JU vs 03 MU";#N/A,#N/A,FALSE,"03JU v 03MU Comments";#N/A,#N/A,FALSE,"JU 2004 Key Issues";#N/A,#N/A,FALSE,"04JUvs03JU";#N/A,#N/A,FALSE,"JU 2004 Gr Spend";#N/A,#N/A,FALSE,"Headcount";#N/A,#N/A,FALSE,"00ACT-03 Conversions";#N/A,#N/A,FALSE,"02ACT-03 Conversions";#N/A,#N/A,FALSE,"Capital"}</definedName>
    <definedName name="xaxis" hidden="1">#REF!</definedName>
    <definedName name="xrates">#REF!</definedName>
    <definedName name="xrates000s">#REF!</definedName>
    <definedName name="XREF_COLUMN_1" hidden="1">#REF!</definedName>
    <definedName name="XRefActiveRow" hidden="1">#REF!</definedName>
    <definedName name="XRefColumnsCount" hidden="1">1</definedName>
    <definedName name="XRefPaste1" hidden="1">#REF!</definedName>
    <definedName name="XRefPaste1Row" hidden="1">#REF!</definedName>
    <definedName name="XRefPasteRangeCount" hidden="1">1</definedName>
    <definedName name="xx" localSheetId="6" hidden="1">{#N/A,#N/A,FALSE,"Consol.";#N/A,#N/A,FALSE,"EM";#N/A,#N/A,FALSE,"Reagent";#N/A,#N/A,FALSE,"Raritan";#N/A,#N/A,FALSE,"UK";#N/A,#N/A,FALSE,"Germany"}</definedName>
    <definedName name="xx" hidden="1">{#N/A,#N/A,FALSE,"Consol.";#N/A,#N/A,FALSE,"EM";#N/A,#N/A,FALSE,"Reagent";#N/A,#N/A,FALSE,"Raritan";#N/A,#N/A,FALSE,"UK";#N/A,#N/A,FALSE,"Germany"}</definedName>
    <definedName name="xxx" localSheetId="6" hidden="1">{#N/A,#N/A,FALSE,"Consol.";#N/A,#N/A,FALSE,"EM";#N/A,#N/A,FALSE,"Reagent";#N/A,#N/A,FALSE,"Raritan";#N/A,#N/A,FALSE,"UK";#N/A,#N/A,FALSE,"Germany"}</definedName>
    <definedName name="xxx" hidden="1">{#N/A,#N/A,FALSE,"Consol.";#N/A,#N/A,FALSE,"EM";#N/A,#N/A,FALSE,"Reagent";#N/A,#N/A,FALSE,"Raritan";#N/A,#N/A,FALSE,"UK";#N/A,#N/A,FALSE,"Germany"}</definedName>
    <definedName name="xxxxx" localSheetId="6" hidden="1">{#N/A,#N/A,FALSE,"Consol.";#N/A,#N/A,FALSE,"EM";#N/A,#N/A,FALSE,"Reagent";#N/A,#N/A,FALSE,"Raritan";#N/A,#N/A,FALSE,"UK";#N/A,#N/A,FALSE,"Germany"}</definedName>
    <definedName name="xxxxx" hidden="1">{#N/A,#N/A,FALSE,"Consol.";#N/A,#N/A,FALSE,"EM";#N/A,#N/A,FALSE,"Reagent";#N/A,#N/A,FALSE,"Raritan";#N/A,#N/A,FALSE,"UK";#N/A,#N/A,FALSE,"Germany"}</definedName>
    <definedName name="xya" localSheetId="6"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xya" hidden="1">{#N/A,#N/A,FALSE,"L&amp;OH CONSOL";#N/A,#N/A,FALSE,"Materials CONSOL";#N/A,#N/A,FALSE,"L&amp;OH EM";#N/A,#N/A,FALSE,"Materials EM";#N/A,#N/A,FALSE,"VOL EM";#N/A,#N/A,FALSE,"L&amp;OH Reag";#N/A,#N/A,FALSE,"Materials Reag";#N/A,#N/A,FALSE,"Volume Reagents";#N/A,#N/A,FALSE,"L&amp;OH Raritan";#N/A,#N/A,FALSE,"Materials Raritan";#N/A,#N/A,FALSE,"UK L&amp;OH";#N/A,#N/A,FALSE,"UK Materials";#N/A,#N/A,FALSE,"Germany L&amp;OH";#N/A,#N/A,FALSE,"Germany Materials"}</definedName>
    <definedName name="xyz" localSheetId="6"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xyz" hidden="1">{#N/A,#N/A,TRUE,"Table of Contents";#N/A,#N/A,TRUE,"WW Sales";#N/A,#N/A,TRUE,"WW Fin. Perf.";#N/A,#N/A,TRUE,"Upside-Downside";#N/A,#N/A,TRUE,"ProductVols ";#N/A,#N/A,TRUE,"OPS Commentary";#N/A,#N/A,TRUE,"UMC's";#N/A,#N/A,TRUE,"Performance";#N/A,#N/A,TRUE,"Rochcogs";#N/A,#N/A,TRUE,"WW OPs COGS";#N/A,#N/A,TRUE,"QA";#N/A,#N/A,TRUE,"IM";#N/A,#N/A,TRUE,"Headcount";#N/A,#N/A,TRUE,"Variances"}</definedName>
    <definedName name="YearFlag">#REF!</definedName>
    <definedName name="Z_4CF1D78B_21FE_4551_B81F_B6778F153C58_.wvu.PrintArea" hidden="1">#REF!</definedName>
    <definedName name="Z_4CF1D78B_21FE_4551_B81F_B6778F153C58_.wvu.PrintTitles" hidden="1">#REF!</definedName>
    <definedName name="zzz" localSheetId="6" hidden="1">{#N/A,#N/A,FALSE,"Consol.";#N/A,#N/A,FALSE,"Roch-EM";#N/A,#N/A,FALSE,"Reagents";#N/A,#N/A,FALSE,"Cardiff";#N/A,#N/A,FALSE,"Germany";#N/A,#N/A,FALSE,"Raitan";#N/A,#N/A,FALSE,"CTS";#N/A,#N/A,FALSE,"IM";#N/A,#N/A,FALSE,"Quality";#N/A,#N/A,FALSE,"Logistics"}</definedName>
    <definedName name="zzz" hidden="1">{#N/A,#N/A,FALSE,"Consol.";#N/A,#N/A,FALSE,"Roch-EM";#N/A,#N/A,FALSE,"Reagents";#N/A,#N/A,FALSE,"Cardiff";#N/A,#N/A,FALSE,"Germany";#N/A,#N/A,FALSE,"Raitan";#N/A,#N/A,FALSE,"CTS";#N/A,#N/A,FALSE,"IM";#N/A,#N/A,FALSE,"Quality";#N/A,#N/A,FALSE,"Logistics"}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1" i="8" l="1"/>
  <c r="H3" i="8" l="1"/>
  <c r="H6" i="8" s="1"/>
  <c r="H42" i="8"/>
  <c r="H38" i="8"/>
  <c r="K64" i="8"/>
  <c r="K66" i="8"/>
  <c r="K56" i="8"/>
  <c r="K58" i="8" s="1"/>
  <c r="D33" i="9"/>
  <c r="J62" i="8"/>
  <c r="J54" i="8"/>
  <c r="L68" i="8"/>
  <c r="L70" i="8" s="1"/>
  <c r="L64" i="8"/>
  <c r="L66" i="8" s="1"/>
  <c r="G28" i="8"/>
  <c r="G30" i="8" s="1"/>
  <c r="G32" i="8"/>
  <c r="G34" i="8" s="1"/>
  <c r="F26" i="8"/>
  <c r="F20" i="8"/>
  <c r="F22" i="8" s="1"/>
  <c r="E16" i="8"/>
  <c r="E18" i="8" s="1"/>
  <c r="E3" i="8" s="1"/>
  <c r="D16" i="8"/>
  <c r="D18" i="8" s="1"/>
  <c r="D12" i="8"/>
  <c r="D14" i="8"/>
  <c r="D8" i="8"/>
  <c r="D10" i="8" s="1"/>
  <c r="I50" i="8"/>
  <c r="I46" i="8"/>
  <c r="I3" i="8" s="1"/>
  <c r="G3" i="8" l="1"/>
  <c r="G6" i="8" s="1"/>
  <c r="F3" i="8"/>
  <c r="F6" i="8" s="1"/>
  <c r="F20" i="9"/>
  <c r="F21" i="9" s="1"/>
  <c r="D3" i="8"/>
  <c r="D8" i="9" s="1"/>
  <c r="D9" i="9" s="1"/>
  <c r="D16" i="9"/>
  <c r="D17" i="9" s="1"/>
  <c r="L3" i="8"/>
  <c r="J3" i="8"/>
  <c r="L6" i="8" l="1"/>
  <c r="F36" i="9"/>
  <c r="F37" i="9" s="1"/>
  <c r="F5" i="9" s="1"/>
  <c r="L2" i="10" l="1"/>
  <c r="L5" i="10" s="1"/>
  <c r="D2" i="10" l="1"/>
  <c r="D5" i="10" s="1"/>
  <c r="E2" i="10"/>
  <c r="E5" i="10" s="1"/>
  <c r="F2" i="10"/>
  <c r="F5" i="10" s="1"/>
  <c r="G2" i="10"/>
  <c r="G5" i="10" s="1"/>
  <c r="H2" i="10"/>
  <c r="I2" i="10"/>
  <c r="J2" i="10"/>
  <c r="J5" i="10" s="1"/>
  <c r="K2" i="10"/>
  <c r="M2" i="10"/>
  <c r="M5" i="10" s="1"/>
  <c r="N2" i="10"/>
  <c r="O2" i="10"/>
  <c r="C2" i="10"/>
  <c r="C5" i="10" s="1"/>
  <c r="U4" i="2"/>
  <c r="O4" i="2" s="1"/>
  <c r="I6" i="8" l="1"/>
  <c r="E16" i="9" l="1"/>
  <c r="E17" i="9" s="1"/>
  <c r="D6" i="8"/>
  <c r="E8" i="9"/>
  <c r="E9" i="9" s="1"/>
  <c r="E6" i="8"/>
  <c r="J6" i="8"/>
  <c r="E24" i="9"/>
  <c r="E25" i="9" s="1"/>
  <c r="D5" i="9" l="1"/>
  <c r="D4" i="9" s="1"/>
  <c r="E5" i="9"/>
  <c r="E4" i="9" s="1"/>
  <c r="F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Saini, Nitesh </author>
  </authors>
  <commentList>
    <comment ref="J1" authorId="0" shapeId="0" xr:uid="{94185B0B-ABFD-42E5-8F8A-260961EBBCEA}">
      <text>
        <r>
          <rPr>
            <sz val="9"/>
            <color indexed="81"/>
            <rFont val="Tahoma"/>
            <family val="2"/>
          </rPr>
          <t xml:space="preserve">SSON
</t>
        </r>
        <r>
          <rPr>
            <sz val="8"/>
            <color indexed="81"/>
            <rFont val="Tahoma"/>
            <family val="2"/>
          </rPr>
          <t>Automated account reconciliations as a % of total monthly reconciliations</t>
        </r>
      </text>
    </comment>
    <comment ref="D4" authorId="0" shapeId="0" xr:uid="{03E68572-346B-4843-B24F-4D4673AC4B3C}">
      <text>
        <r>
          <rPr>
            <sz val="9"/>
            <color indexed="81"/>
            <rFont val="Tahoma"/>
            <family val="2"/>
          </rPr>
          <t>SSON</t>
        </r>
      </text>
    </comment>
    <comment ref="E4" authorId="0" shapeId="0" xr:uid="{0B93EDB6-C34D-4C29-A0DB-657C1EC717DD}">
      <text>
        <r>
          <rPr>
            <sz val="9"/>
            <color indexed="81"/>
            <rFont val="Tahoma"/>
            <family val="2"/>
          </rPr>
          <t>SSON</t>
        </r>
      </text>
    </comment>
    <comment ref="F4" authorId="0" shapeId="0" xr:uid="{ACAA7130-6220-443E-85F3-DB74921A09D0}">
      <text>
        <r>
          <rPr>
            <sz val="9"/>
            <color indexed="81"/>
            <rFont val="Tahoma"/>
            <family val="2"/>
          </rPr>
          <t>SSON</t>
        </r>
      </text>
    </comment>
    <comment ref="G4" authorId="0" shapeId="0" xr:uid="{B9D6E5C3-53F8-4FBA-990C-B524C87D285A}">
      <text>
        <r>
          <rPr>
            <sz val="9"/>
            <color indexed="81"/>
            <rFont val="Tahoma"/>
            <family val="2"/>
          </rPr>
          <t xml:space="preserve">EY
</t>
        </r>
        <r>
          <rPr>
            <sz val="8"/>
            <color indexed="81"/>
            <rFont val="Tahoma"/>
            <family val="2"/>
          </rPr>
          <t>https://www.ey.com/en_us/insights/strategy/cash-forecasting-difficult-and-more-urgent-than-ever</t>
        </r>
      </text>
    </comment>
    <comment ref="J4" authorId="0" shapeId="0" xr:uid="{AC7835DF-4A86-49C4-93C3-28088FBAA75B}">
      <text>
        <r>
          <rPr>
            <sz val="9"/>
            <color indexed="81"/>
            <rFont val="Tahoma"/>
            <family val="2"/>
          </rPr>
          <t>SSON</t>
        </r>
      </text>
    </comment>
    <comment ref="L4" authorId="0" shapeId="0" xr:uid="{FC21C7D2-66CB-41DF-84CC-5AD186300C73}">
      <text>
        <r>
          <rPr>
            <sz val="9"/>
            <color indexed="81"/>
            <rFont val="Tahoma"/>
            <family val="2"/>
          </rPr>
          <t>SSON</t>
        </r>
      </text>
    </comment>
    <comment ref="M4" authorId="0" shapeId="0" xr:uid="{2F0C4A52-FD31-4176-84BB-F18C92C29639}">
      <text>
        <r>
          <rPr>
            <sz val="9"/>
            <color indexed="81"/>
            <rFont val="Tahoma"/>
            <family val="2"/>
          </rPr>
          <t>SSON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Pooja Majmudar</author>
    <author xml:space="preserve">Saini, Nitesh </author>
  </authors>
  <commentList>
    <comment ref="E2" authorId="0" shapeId="0" xr:uid="{B5BB77B0-EAB3-41CA-9F72-FF291F8CE81A}">
      <text>
        <r>
          <rPr>
            <b/>
            <sz val="9"/>
            <color indexed="81"/>
            <rFont val="Tahoma"/>
            <family val="2"/>
          </rPr>
          <t>Pooja Majmudar:</t>
        </r>
        <r>
          <rPr>
            <sz val="9"/>
            <color indexed="81"/>
            <rFont val="Tahoma"/>
            <family val="2"/>
          </rPr>
          <t xml:space="preserve">
Bad debt is not impacted by CE, its an indicator, however for the similation we have just kept this for now</t>
        </r>
      </text>
    </comment>
    <comment ref="D5" authorId="1" shapeId="0" xr:uid="{5334E131-62EA-4D1A-9474-0CB0146C98FC}">
      <text>
        <r>
          <rPr>
            <sz val="9"/>
            <color indexed="81"/>
            <rFont val="Tahoma"/>
            <family val="2"/>
          </rPr>
          <t>SSON</t>
        </r>
      </text>
    </comment>
    <comment ref="E5" authorId="1" shapeId="0" xr:uid="{8A1705CC-3CDC-4E8A-97E4-B4D3BC23AF52}">
      <text>
        <r>
          <rPr>
            <sz val="9"/>
            <color indexed="81"/>
            <rFont val="Tahoma"/>
            <family val="2"/>
          </rPr>
          <t>SSON</t>
        </r>
      </text>
    </comment>
    <comment ref="F5" authorId="0" shapeId="0" xr:uid="{6A1ACE1A-398D-46A8-ADF6-6A024918D015}">
      <text>
        <r>
          <rPr>
            <b/>
            <sz val="9"/>
            <color indexed="81"/>
            <rFont val="Tahoma"/>
            <family val="2"/>
          </rPr>
          <t>Pooja Majmudar:</t>
        </r>
        <r>
          <rPr>
            <sz val="9"/>
            <color indexed="81"/>
            <rFont val="Tahoma"/>
            <family val="2"/>
          </rPr>
          <t xml:space="preserve">
High Radius</t>
        </r>
      </text>
    </comment>
    <comment ref="G5" authorId="1" shapeId="0" xr:uid="{E9DF32DA-ACDC-47CE-9773-6D518CAD5F22}">
      <text>
        <r>
          <rPr>
            <sz val="9"/>
            <color indexed="81"/>
            <rFont val="Tahoma"/>
            <family val="2"/>
          </rPr>
          <t>SSON</t>
        </r>
      </text>
    </comment>
    <comment ref="H5" authorId="0" shapeId="0" xr:uid="{002D51A8-300C-44D1-A532-E16E7D8A9AD8}">
      <text>
        <r>
          <rPr>
            <b/>
            <sz val="9"/>
            <color indexed="81"/>
            <rFont val="Tahoma"/>
            <family val="2"/>
          </rPr>
          <t>Pooja Majmudar:</t>
        </r>
        <r>
          <rPr>
            <sz val="9"/>
            <color indexed="81"/>
            <rFont val="Tahoma"/>
            <family val="2"/>
          </rPr>
          <t xml:space="preserve">
High Radius</t>
        </r>
      </text>
    </comment>
    <comment ref="I5" authorId="1" shapeId="0" xr:uid="{4FCD6C9B-9412-4F24-850E-4B628878EC17}">
      <text>
        <r>
          <rPr>
            <sz val="9"/>
            <color indexed="81"/>
            <rFont val="Tahoma"/>
            <family val="2"/>
          </rPr>
          <t>SSON</t>
        </r>
      </text>
    </comment>
    <comment ref="J5" authorId="1" shapeId="0" xr:uid="{226A9F8A-34F6-4E41-B2E8-F8FEB2EBAD13}">
      <text>
        <r>
          <rPr>
            <sz val="9"/>
            <color indexed="81"/>
            <rFont val="Tahoma"/>
            <family val="2"/>
          </rPr>
          <t>SSON</t>
        </r>
      </text>
    </comment>
    <comment ref="L5" authorId="1" shapeId="0" xr:uid="{35366DF7-7F0F-4F65-817C-06C0FD35C4CC}">
      <text>
        <r>
          <rPr>
            <sz val="9"/>
            <color indexed="81"/>
            <rFont val="Tahoma"/>
            <family val="2"/>
          </rPr>
          <t>SSON</t>
        </r>
      </text>
    </comment>
    <comment ref="B15" authorId="0" shapeId="0" xr:uid="{F240FA87-B80D-4A98-9C43-2850D4713586}">
      <text>
        <r>
          <rPr>
            <b/>
            <sz val="9"/>
            <color indexed="81"/>
            <rFont val="Tahoma"/>
            <family val="2"/>
          </rPr>
          <t>Pooja Majmudar:</t>
        </r>
        <r>
          <rPr>
            <sz val="9"/>
            <color indexed="81"/>
            <rFont val="Tahoma"/>
            <family val="2"/>
          </rPr>
          <t xml:space="preserve">
A collections effectiveness rate, often known as CEI, measures how well a company collects debts from its customers, showing the percentage of receivables a business has successfully collected during a specific time period.
</t>
        </r>
      </text>
    </comment>
    <comment ref="B23" authorId="0" shapeId="0" xr:uid="{28D14160-0D83-47D7-8B3D-DEA6D8835614}">
      <text>
        <r>
          <rPr>
            <b/>
            <sz val="9"/>
            <color indexed="81"/>
            <rFont val="Tahoma"/>
            <family val="2"/>
          </rPr>
          <t>Pooja Majmudar:</t>
        </r>
        <r>
          <rPr>
            <sz val="9"/>
            <color indexed="81"/>
            <rFont val="Tahoma"/>
            <family val="2"/>
          </rPr>
          <t xml:space="preserve">
ideally should be a range &gt;90% optimum</t>
        </r>
      </text>
    </comment>
    <comment ref="B27" authorId="0" shapeId="0" xr:uid="{22D6C8C8-F520-449C-A20B-EA36C7EDEC36}">
      <text>
        <r>
          <rPr>
            <b/>
            <sz val="9"/>
            <color indexed="81"/>
            <rFont val="Tahoma"/>
            <family val="2"/>
          </rPr>
          <t>Pooja Majmudar:</t>
        </r>
        <r>
          <rPr>
            <sz val="9"/>
            <color indexed="81"/>
            <rFont val="Tahoma"/>
            <family val="2"/>
          </rPr>
          <t xml:space="preserve">
60-70% benchmark</t>
        </r>
      </text>
    </comment>
    <comment ref="B39" authorId="1" shapeId="0" xr:uid="{6025E230-BD09-427F-8409-2C47490B45A9}">
      <text>
        <r>
          <rPr>
            <sz val="9"/>
            <color indexed="81"/>
            <rFont val="Tahoma"/>
            <family val="2"/>
          </rPr>
          <t>60% - 70% SSON</t>
        </r>
      </text>
    </comment>
    <comment ref="B51" authorId="1" shapeId="0" xr:uid="{B3086238-BE53-41F7-AD89-1F9E62E1361D}">
      <text>
        <r>
          <rPr>
            <sz val="9"/>
            <color indexed="81"/>
            <rFont val="Tahoma"/>
            <family val="2"/>
          </rPr>
          <t>6 - 9 days (SSON)</t>
        </r>
      </text>
    </comment>
    <comment ref="B55" authorId="1" shapeId="0" xr:uid="{5E7BE7D2-3D5F-4FFD-8399-A84EEE93B6C3}">
      <text>
        <r>
          <rPr>
            <sz val="9"/>
            <color indexed="81"/>
            <rFont val="Tahoma"/>
            <family val="2"/>
          </rPr>
          <t>50-60% SSON</t>
        </r>
      </text>
    </comment>
    <comment ref="B59" authorId="1" shapeId="0" xr:uid="{585BB73E-E103-4612-9D5B-BE9C90A479F5}">
      <text>
        <r>
          <rPr>
            <sz val="9"/>
            <color indexed="81"/>
            <rFont val="Tahoma"/>
            <family val="2"/>
          </rPr>
          <t>50-60% SSON</t>
        </r>
      </text>
    </comment>
    <comment ref="B63" authorId="1" shapeId="0" xr:uid="{739E103E-4E83-40ED-A3CA-0845F01A3618}">
      <text>
        <r>
          <rPr>
            <sz val="9"/>
            <color indexed="81"/>
            <rFont val="Tahoma"/>
            <family val="2"/>
          </rPr>
          <t>50% - 60% SSON
E-invoice adoption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Saini, Nitesh </author>
  </authors>
  <commentList>
    <comment ref="E4" authorId="0" shapeId="0" xr:uid="{38D10622-A82A-4DD3-B3F3-2955B410BB97}">
      <text>
        <r>
          <rPr>
            <sz val="9"/>
            <color indexed="81"/>
            <rFont val="Tahoma"/>
            <family val="2"/>
          </rPr>
          <t>SSON</t>
        </r>
      </text>
    </comment>
    <comment ref="H4" authorId="0" shapeId="0" xr:uid="{64F1B452-A761-4AD3-A9D6-94B60E499509}">
      <text>
        <r>
          <rPr>
            <sz val="9"/>
            <color indexed="81"/>
            <rFont val="Tahoma"/>
            <family val="2"/>
          </rPr>
          <t>DSO= 
(AR/Total Credit Sales)*Number of Days</t>
        </r>
      </text>
    </comment>
    <comment ref="K4" authorId="0" shapeId="0" xr:uid="{39051249-B5AF-4C55-B001-18C404B1B895}">
      <text>
        <r>
          <rPr>
            <sz val="9"/>
            <color indexed="81"/>
            <rFont val="Tahoma"/>
            <family val="2"/>
          </rPr>
          <t>SSON</t>
        </r>
      </text>
    </comment>
    <comment ref="S4" authorId="0" shapeId="0" xr:uid="{C7D2CE07-91A1-46AA-8202-2984B474697D}">
      <text>
        <r>
          <rPr>
            <sz val="9"/>
            <color indexed="81"/>
            <rFont val="Tahoma"/>
            <family val="2"/>
          </rPr>
          <t>SSON</t>
        </r>
      </text>
    </comment>
    <comment ref="K7" authorId="0" shapeId="0" xr:uid="{CDE10C4F-C76F-45E9-9139-D81335133242}">
      <text>
        <r>
          <rPr>
            <sz val="9"/>
            <color indexed="81"/>
            <rFont val="Tahoma"/>
            <family val="2"/>
          </rPr>
          <t>SSON</t>
        </r>
      </text>
    </comment>
    <comment ref="S8" authorId="0" shapeId="0" xr:uid="{F452ECF8-61DB-43C8-B1B9-8CD7951D5965}">
      <text>
        <r>
          <rPr>
            <sz val="9"/>
            <color indexed="81"/>
            <rFont val="Tahoma"/>
            <family val="2"/>
          </rPr>
          <t>SSON</t>
        </r>
      </text>
    </comment>
    <comment ref="S11" authorId="0" shapeId="0" xr:uid="{DE1DBF72-3319-4FB1-8636-3E28060108AC}">
      <text>
        <r>
          <rPr>
            <sz val="9"/>
            <color indexed="81"/>
            <rFont val="Tahoma"/>
            <family val="2"/>
          </rPr>
          <t>SSON</t>
        </r>
      </text>
    </comment>
    <comment ref="S12" authorId="0" shapeId="0" xr:uid="{2ECA28E0-F129-43B3-907E-9EA97607BB10}">
      <text>
        <r>
          <rPr>
            <sz val="9"/>
            <color indexed="81"/>
            <rFont val="Tahoma"/>
            <family val="2"/>
          </rPr>
          <t>SSON</t>
        </r>
      </text>
    </comment>
    <comment ref="K13" authorId="0" shapeId="0" xr:uid="{57286E97-B554-412B-907E-41B650779696}">
      <text>
        <r>
          <rPr>
            <sz val="9"/>
            <color indexed="81"/>
            <rFont val="Tahoma"/>
            <family val="2"/>
          </rPr>
          <t>APQC (6.4 days)
https://www.linkedin.com/pulse/financial-closing-made-easy-how-sap-fico-streamlines-month-end-0ysnf</t>
        </r>
      </text>
    </comment>
    <comment ref="S16" authorId="0" shapeId="0" xr:uid="{A6611A62-E245-4534-9742-4CE8E4D7B3CB}">
      <text>
        <r>
          <rPr>
            <sz val="9"/>
            <color indexed="81"/>
            <rFont val="Tahoma"/>
            <family val="2"/>
          </rPr>
          <t>SSON</t>
        </r>
      </text>
    </comment>
    <comment ref="S19" authorId="0" shapeId="0" xr:uid="{E247A9CF-AAAF-4BA1-A3EC-D07F93548CEF}">
      <text>
        <r>
          <rPr>
            <sz val="9"/>
            <color indexed="81"/>
            <rFont val="Tahoma"/>
            <family val="2"/>
          </rPr>
          <t>SSON</t>
        </r>
      </text>
    </comment>
    <comment ref="S20" authorId="0" shapeId="0" xr:uid="{82A9ADA8-92AB-469F-A2C6-7FC6B30C705D}">
      <text>
        <r>
          <rPr>
            <sz val="9"/>
            <color indexed="81"/>
            <rFont val="Tahoma"/>
            <family val="2"/>
          </rPr>
          <t>SSON</t>
        </r>
      </text>
    </comment>
    <comment ref="S22" authorId="0" shapeId="0" xr:uid="{6C67F2B4-46B1-4E53-B408-CE719E121265}">
      <text>
        <r>
          <rPr>
            <sz val="9"/>
            <color indexed="81"/>
            <rFont val="Tahoma"/>
            <family val="2"/>
          </rPr>
          <t>SSON</t>
        </r>
      </text>
    </comment>
    <comment ref="S24" authorId="0" shapeId="0" xr:uid="{F855B389-1B9D-4A1B-9995-FA7CA52CFF41}">
      <text>
        <r>
          <rPr>
            <sz val="9"/>
            <color indexed="81"/>
            <rFont val="Tahoma"/>
            <family val="2"/>
          </rPr>
          <t>SSON</t>
        </r>
      </text>
    </comment>
    <comment ref="S25" authorId="0" shapeId="0" xr:uid="{B7A27444-6B14-4B53-A7AD-494F20D274DF}">
      <text>
        <r>
          <rPr>
            <sz val="9"/>
            <color indexed="81"/>
            <rFont val="Tahoma"/>
            <family val="2"/>
          </rPr>
          <t>SSON</t>
        </r>
      </text>
    </comment>
    <comment ref="S27" authorId="0" shapeId="0" xr:uid="{BACB2626-D7F2-4DA6-A0B8-1AB8DCFA50DE}">
      <text>
        <r>
          <rPr>
            <sz val="9"/>
            <color indexed="81"/>
            <rFont val="Tahoma"/>
            <family val="2"/>
          </rPr>
          <t>SSON</t>
        </r>
      </text>
    </comment>
  </commentList>
</comments>
</file>

<file path=xl/sharedStrings.xml><?xml version="1.0" encoding="utf-8"?>
<sst xmlns="http://schemas.openxmlformats.org/spreadsheetml/2006/main" count="1016" uniqueCount="439">
  <si>
    <t>Working Capital Efficiency (%)</t>
  </si>
  <si>
    <t>Sub LOB</t>
  </si>
  <si>
    <t>L0</t>
  </si>
  <si>
    <t>L1</t>
  </si>
  <si>
    <t>L2</t>
  </si>
  <si>
    <t>Intervention</t>
  </si>
  <si>
    <t>Use Case</t>
  </si>
  <si>
    <t>Final Intervention</t>
  </si>
  <si>
    <t>Impact definition</t>
  </si>
  <si>
    <t>H</t>
  </si>
  <si>
    <t>P2P</t>
  </si>
  <si>
    <t>Cash Conversion Cycle (Days)</t>
  </si>
  <si>
    <t>Days Payable Outstanding (DPO)</t>
  </si>
  <si>
    <t>Invoice processing cycle time</t>
  </si>
  <si>
    <t xml:space="preserve">Intelligent Document Processing </t>
  </si>
  <si>
    <t>Uses OCR + AI to auto-extract, validate, and process invoices, POs , and contracts</t>
  </si>
  <si>
    <r>
      <rPr>
        <b/>
        <sz val="10"/>
        <color rgb="FF000000"/>
        <rFont val="Calibri"/>
        <family val="2"/>
      </rPr>
      <t>Intelligent Document Processing:</t>
    </r>
    <r>
      <rPr>
        <sz val="10"/>
        <color rgb="FF000000"/>
        <rFont val="Calibri"/>
        <family val="2"/>
      </rPr>
      <t xml:space="preserve"> </t>
    </r>
    <r>
      <rPr>
        <sz val="9"/>
        <color rgb="FF000000"/>
        <rFont val="Calibri"/>
        <family val="2"/>
      </rPr>
      <t>Auto-extract Invoice Fields, Automate Journal Entry Capture, Digitize Supplier Invoices</t>
    </r>
  </si>
  <si>
    <t>reduce</t>
  </si>
  <si>
    <t>RPA bots</t>
  </si>
  <si>
    <t>Automated PO Generation and Routing</t>
  </si>
  <si>
    <r>
      <rPr>
        <b/>
        <sz val="10"/>
        <color rgb="FF000000"/>
        <rFont val="Calibri"/>
        <family val="2"/>
      </rPr>
      <t>RPA Bots:</t>
    </r>
    <r>
      <rPr>
        <sz val="10"/>
        <color rgb="FF000000"/>
        <rFont val="Calibri"/>
        <family val="2"/>
      </rPr>
      <t xml:space="preserve"> </t>
    </r>
    <r>
      <rPr>
        <sz val="9"/>
        <color rgb="FF000000"/>
        <rFont val="Calibri"/>
        <family val="2"/>
      </rPr>
      <t xml:space="preserve">Automate PO Generation and Payment Reminders, Validate PO's and Contracts </t>
    </r>
  </si>
  <si>
    <t xml:space="preserve">Workflow Automation </t>
  </si>
  <si>
    <t>Standardizes invoice approvals and expense management with automated routing</t>
  </si>
  <si>
    <r>
      <rPr>
        <b/>
        <sz val="10"/>
        <color rgb="FF000000"/>
        <rFont val="Calibri"/>
        <family val="2"/>
      </rPr>
      <t>Workflow Automation:</t>
    </r>
    <r>
      <rPr>
        <sz val="10"/>
        <color rgb="FF000000"/>
        <rFont val="Calibri"/>
        <family val="2"/>
      </rPr>
      <t xml:space="preserve"> </t>
    </r>
    <r>
      <rPr>
        <sz val="9"/>
        <color rgb="FF000000"/>
        <rFont val="Calibri"/>
        <family val="2"/>
      </rPr>
      <t xml:space="preserve">Standardize Invoice Approvals, Vendor Onboarding, Purchase Requests </t>
    </r>
  </si>
  <si>
    <t>First-Time Match Rate</t>
  </si>
  <si>
    <t>Straight-through Payment Automation</t>
  </si>
  <si>
    <t>increase</t>
  </si>
  <si>
    <t>PO policy compliance rate</t>
  </si>
  <si>
    <t>Intelligent Rule Based Enforcement for Policies</t>
  </si>
  <si>
    <t>Cost Efficiency (%)</t>
  </si>
  <si>
    <t>Cost per Invoice</t>
  </si>
  <si>
    <t>% of automated invoices</t>
  </si>
  <si>
    <t>Productvity/Employee</t>
  </si>
  <si>
    <t>Process Mining for Procurement Gaps</t>
  </si>
  <si>
    <r>
      <rPr>
        <b/>
        <sz val="10"/>
        <color theme="1"/>
        <rFont val="Calibri"/>
        <family val="2"/>
      </rPr>
      <t>Process Mining:</t>
    </r>
    <r>
      <rPr>
        <sz val="10"/>
        <color theme="1"/>
        <rFont val="Calibri"/>
        <family val="2"/>
      </rPr>
      <t xml:space="preserve"> </t>
    </r>
    <r>
      <rPr>
        <sz val="9"/>
        <color theme="1"/>
        <rFont val="Calibri"/>
        <family val="2"/>
      </rPr>
      <t>Detect Procurement Gaps, Optimize Close Timelines, Identify Collection Bottlenecks</t>
    </r>
  </si>
  <si>
    <t>Data Visualization &amp; Real-time Dashboards</t>
  </si>
  <si>
    <t>Supplier Dashboards &amp; Reporting</t>
  </si>
  <si>
    <r>
      <rPr>
        <b/>
        <sz val="10"/>
        <color theme="1"/>
        <rFont val="Calibri"/>
        <family val="2"/>
      </rPr>
      <t>Data Visualization &amp; Real-time Dashboards:</t>
    </r>
    <r>
      <rPr>
        <sz val="10"/>
        <color theme="1"/>
        <rFont val="Calibri"/>
        <family val="2"/>
      </rPr>
      <t xml:space="preserve"> </t>
    </r>
    <r>
      <rPr>
        <sz val="9"/>
        <color theme="1"/>
        <rFont val="Calibri"/>
        <family val="2"/>
      </rPr>
      <t>Track Receivables in Real-Time, Monitor Financial KPIs, Analyze Spend Patterns</t>
    </r>
  </si>
  <si>
    <t>Na</t>
  </si>
  <si>
    <t>R2R</t>
  </si>
  <si>
    <t xml:space="preserve"> -</t>
  </si>
  <si>
    <t>Compliance with Month-end Schedule</t>
  </si>
  <si>
    <t>Timeliness of journal entries</t>
  </si>
  <si>
    <t>Streamlined Reporting Workflows</t>
  </si>
  <si>
    <t>% of Automated journal entries</t>
  </si>
  <si>
    <t>Data entry and error remediation with RPA</t>
  </si>
  <si>
    <t>Accuracy of Financial Reports</t>
  </si>
  <si>
    <t>Accuracy of journal entries</t>
  </si>
  <si>
    <t>Enterprise analysis for audits and compliance</t>
  </si>
  <si>
    <r>
      <rPr>
        <b/>
        <sz val="10"/>
        <color rgb="FF000000"/>
        <rFont val="Calibri"/>
        <family val="2"/>
      </rPr>
      <t>Analytics:</t>
    </r>
    <r>
      <rPr>
        <sz val="10"/>
        <color rgb="FF000000"/>
        <rFont val="Calibri"/>
        <family val="2"/>
      </rPr>
      <t xml:space="preserve"> </t>
    </r>
    <r>
      <rPr>
        <sz val="9"/>
        <color rgb="FF000000"/>
        <rFont val="Calibri"/>
        <family val="2"/>
      </rPr>
      <t>Predictive Analytics Engine for Collections, Cash-flow Forecast, Compliance &amp; Audit Analysis</t>
    </r>
  </si>
  <si>
    <t>Reconciliation accuracy</t>
  </si>
  <si>
    <t>Auto-matching and Exception Handling</t>
  </si>
  <si>
    <t>I2C</t>
  </si>
  <si>
    <t>Days Sales Outstanding (DSO)</t>
  </si>
  <si>
    <t xml:space="preserve">	
Invoice Processing Cycle Time</t>
  </si>
  <si>
    <t xml:space="preserve">Unified CRM Solution to Automate Workflows </t>
  </si>
  <si>
    <t>Collection efficiency</t>
  </si>
  <si>
    <t>AI/ML-led forecasting</t>
  </si>
  <si>
    <t>Enhances cash flow predictions, supply and demand-based forecasting</t>
  </si>
  <si>
    <t>Bad Debt Ratio</t>
  </si>
  <si>
    <t>Predictive Analytics Engine for Collections</t>
  </si>
  <si>
    <t>Invoice Accuracy</t>
  </si>
  <si>
    <t xml:space="preserve">Automated Routing for Invoice/Expense Mgt. </t>
  </si>
  <si>
    <t>Timely Follow-Up</t>
  </si>
  <si>
    <t>RPA Automated Follow-up</t>
  </si>
  <si>
    <t>RPA</t>
  </si>
  <si>
    <t>Standardizes invoice approvals with automated routing</t>
  </si>
  <si>
    <t xml:space="preserve">Process Mining for Efficiency Savings </t>
  </si>
  <si>
    <t>impactfactorIPCTDSO</t>
  </si>
  <si>
    <t>currentDSO</t>
  </si>
  <si>
    <t>ImpactIPCT</t>
  </si>
  <si>
    <t>change in IPCT * 0.4</t>
  </si>
  <si>
    <t>Auto-extract Invoice Fields, Automate Journal Entry Capture, Digitize Supplier Invoices</t>
  </si>
  <si>
    <t>impactFTMR</t>
  </si>
  <si>
    <t>change*0.4</t>
  </si>
  <si>
    <t>RPA Bots</t>
  </si>
  <si>
    <t xml:space="preserve">Automate PO Generation and Payment Reminders, Validate PO's and Contracts </t>
  </si>
  <si>
    <t>total impaft</t>
  </si>
  <si>
    <t>IPCT+FTMR</t>
  </si>
  <si>
    <t xml:space="preserve">Standardize Invoice Approvals, Vendor Onboarding, Purchase Requests </t>
  </si>
  <si>
    <t>new DSO</t>
  </si>
  <si>
    <t>CUrrentDSO*impactIPCT</t>
  </si>
  <si>
    <t xml:space="preserve">Process Mining </t>
  </si>
  <si>
    <t>Detect Procurement Gaps, Optimize Close Timelines, Identify Collection Bottlenecks</t>
  </si>
  <si>
    <t>Track Receivables in Real-Time, Monitor Financial KPIs, Analyze Spend Patterns</t>
  </si>
  <si>
    <t>AI/ML</t>
  </si>
  <si>
    <t xml:space="preserve">Analytics </t>
  </si>
  <si>
    <t>Aesthetics inputs</t>
  </si>
  <si>
    <t>TP logo</t>
  </si>
  <si>
    <t>&lt;div style="position: absolute; top: 6px; right: 10px;"&gt;
        &lt;svg width="50" height="43" viewBox="0 0 40 53" fill="none" xmlns="http://www.w3.org/2000/svg"&gt;
&lt;path d="M9.64912 9.98551H0C0 10.2928 0.239234 10.5232 0.478469 10.7536C3.18979 13.3652 6.9378 16.9754 9.64912 19.587C9.80861 19.7406 10.0478 19.587 10.0478 19.4333V10.3696C10.0478 10.1391 9.88836 9.98551 9.64912 9.98551ZM31.7384 0H31.0207V8.98696C31.0207 9.52464 30.5423 9.98551 29.984 9.98551H21.2919C21.0526 9.98551 20.8931 10.1391 20.8931 10.3696V43.3217C20.8931 43.8594 20.4147 44.3203 19.8565 44.3203H11.244C11.0048 44.3203 10.8453 44.6275 11.0048 44.7812C12.9187 46.6246 16.6667 50.2348 18.5805 52.0783C19.059 52.5391 19.7767 53 20.6539 53H28.9474C29.7448 53 30.3828 52.3855 30.3828 51.6174V33.029C30.3828 32.7986 30.5423 32.6449 30.7815 32.6449H31.6587C40.9888 32.6449 50 27.1913 50 16.2841C50 5.37681 43.1419 0 31.7384 0Z" fill="white"/&gt;
&lt;/svg&gt;
    &lt;/div&gt;</t>
  </si>
  <si>
    <t>Font</t>
  </si>
  <si>
    <t>font-family: 'Calibri Light', 'Calibri', sans-serif;</t>
  </si>
  <si>
    <t>Title box colour</t>
  </si>
  <si>
    <t>#4A4C6A</t>
  </si>
  <si>
    <t>Button colour</t>
  </si>
  <si>
    <t>#D8D9E4</t>
  </si>
  <si>
    <t>Button colour (hover and on-click)</t>
  </si>
  <si>
    <t>#B2A1E0</t>
  </si>
  <si>
    <t>Business Outcomes Header Box</t>
  </si>
  <si>
    <t>#918D80</t>
  </si>
  <si>
    <t>L1 Metrics Header Box</t>
  </si>
  <si>
    <t>#B1B3C9</t>
  </si>
  <si>
    <t>L2 Metrics Header Box</t>
  </si>
  <si>
    <t>Interventions &gt;&gt; rename to Enablers</t>
  </si>
  <si>
    <t>#D9D0EF</t>
  </si>
  <si>
    <t>Business Outcomes Box Background</t>
  </si>
  <si>
    <t>Header icons</t>
  </si>
  <si>
    <t>From other version</t>
  </si>
  <si>
    <t>Requirements</t>
  </si>
  <si>
    <t>Default values for all metrics / interventions to be defined</t>
  </si>
  <si>
    <t>Default values to be updated for metrics in the event drag function OR intervention impact is triggered</t>
  </si>
  <si>
    <t>Each calculation for metric manipulation to consider mentioned parameters</t>
  </si>
  <si>
    <t>IMPACTING METRICS</t>
  </si>
  <si>
    <t>Current Value</t>
  </si>
  <si>
    <t>New Value</t>
  </si>
  <si>
    <t>Delta Value</t>
  </si>
  <si>
    <t>Impact Factor (associated with IMPACTED METRIC)</t>
  </si>
  <si>
    <t>IMPACTED METRICS</t>
  </si>
  <si>
    <t>Default Value</t>
  </si>
  <si>
    <t>Updated Value</t>
  </si>
  <si>
    <t>Change %</t>
  </si>
  <si>
    <t>If condition to call the impact factor</t>
  </si>
  <si>
    <t>If condition to call the drag impact function</t>
  </si>
  <si>
    <t>Reset functionality to reset all values to original defined default values</t>
  </si>
  <si>
    <t>Standardize nomenclature</t>
  </si>
  <si>
    <t>Impacted metric drag triangle to be highlighted</t>
  </si>
  <si>
    <t>Dependency map to be added</t>
  </si>
  <si>
    <t>Business Outcomes</t>
  </si>
  <si>
    <t>L1 Metrics</t>
  </si>
  <si>
    <t>L2 Metrics</t>
  </si>
  <si>
    <t>Interventions</t>
  </si>
  <si>
    <t>Definition</t>
  </si>
  <si>
    <t>Benchmarking Range</t>
  </si>
  <si>
    <t>Service Line</t>
  </si>
  <si>
    <t>Value Range</t>
  </si>
  <si>
    <t>Low</t>
  </si>
  <si>
    <t>High</t>
  </si>
  <si>
    <r>
      <t xml:space="preserve">The time (in days) it takes for a company to convert its investments in inventory and other resources into cash flow from sales
</t>
    </r>
    <r>
      <rPr>
        <b/>
        <sz val="10"/>
        <color theme="1"/>
        <rFont val="Calibri"/>
        <family val="2"/>
      </rPr>
      <t>A lower CCC indicates faster cash flow turnover and improved liquidity</t>
    </r>
  </si>
  <si>
    <t>[Invoice to Cash]</t>
  </si>
  <si>
    <t>0 days</t>
  </si>
  <si>
    <t>30 days</t>
  </si>
  <si>
    <t>Invoice Processing Time (AR)</t>
  </si>
  <si>
    <t>5 days</t>
  </si>
  <si>
    <t>ICR led scanning and indexing</t>
  </si>
  <si>
    <t>Collection Effectiveness Index (CEI)</t>
  </si>
  <si>
    <t>First-Time Match Rate (AR)</t>
  </si>
  <si>
    <r>
      <t xml:space="preserve">How effectively a company manages its short-term assets and liabilities to sustain operations while optimizing liquidity
</t>
    </r>
    <r>
      <rPr>
        <b/>
        <sz val="10"/>
        <color theme="1"/>
        <rFont val="Calibri"/>
        <family val="2"/>
      </rPr>
      <t>A higher WCE reflects better financial health and operational efficiency</t>
    </r>
  </si>
  <si>
    <t>[Record to Report]</t>
  </si>
  <si>
    <t>Time to Close</t>
  </si>
  <si>
    <t>[Analytics] Predictive cash forecasting to forecast Collection Trends + Cash Flow</t>
  </si>
  <si>
    <t>Audit Findings</t>
  </si>
  <si>
    <t xml:space="preserve">Cost per Invoice </t>
  </si>
  <si>
    <t>$0</t>
  </si>
  <si>
    <t>$5</t>
  </si>
  <si>
    <t>[AI] AI/ML driven AP</t>
  </si>
  <si>
    <t>Cost Efficiency (% of revenue)</t>
  </si>
  <si>
    <r>
      <t xml:space="preserve">The percentage of revenue spent on operational costs, assessing how well a company controls expenses while maintaining profitability
</t>
    </r>
    <r>
      <rPr>
        <b/>
        <sz val="10"/>
        <color theme="1"/>
        <rFont val="Calibri"/>
        <family val="2"/>
      </rPr>
      <t>A lower cost percentage indicates improved financial performance and better resource utilization</t>
    </r>
  </si>
  <si>
    <t>[Procure to Pay]</t>
  </si>
  <si>
    <t>Cash Flow Forecast Accuracy</t>
  </si>
  <si>
    <t>[AI] AI cash application to match payments to invoices in real-time</t>
  </si>
  <si>
    <t>Cost per purchase order</t>
  </si>
  <si>
    <t>Error Rate</t>
  </si>
  <si>
    <t>[Analytics] Enterprise analysis for audits and compliance</t>
  </si>
  <si>
    <t>Process Compliance Rate</t>
  </si>
  <si>
    <t>Automation Rate</t>
  </si>
  <si>
    <t>Invoice to Cash</t>
  </si>
  <si>
    <t>Invoice Processing Time, First-Time Match Rate</t>
  </si>
  <si>
    <t xml:space="preserve">Reconciliation Accuracy </t>
  </si>
  <si>
    <t>Bad Debt Ratio, Cost per Invoice, Cash Flow Forecast Accuracy</t>
  </si>
  <si>
    <t>Invoice Processing Time (AP)</t>
  </si>
  <si>
    <t>Record to Report</t>
  </si>
  <si>
    <t>Error rate, Process Compliance rate, Automation rate</t>
  </si>
  <si>
    <t>First-Time Match Rate (AP)</t>
  </si>
  <si>
    <t>Reconciliation accuracy, Process Compliance Rate</t>
  </si>
  <si>
    <t>On-time Payment Rate</t>
  </si>
  <si>
    <t>Procure to Pay</t>
  </si>
  <si>
    <t>DPO</t>
  </si>
  <si>
    <t>Invoice Processing Time, First-Time Match Rate, On-time payment rate</t>
  </si>
  <si>
    <t>Policy Compliance Rate</t>
  </si>
  <si>
    <t>Policy Compliance Rate, On-time Payment Rate</t>
  </si>
  <si>
    <t>Net Impact&gt;&gt;</t>
  </si>
  <si>
    <t>Best-in class</t>
  </si>
  <si>
    <t>50%-60%</t>
  </si>
  <si>
    <t>0 - 2%</t>
  </si>
  <si>
    <t>$3 - $4</t>
  </si>
  <si>
    <t>90% - 100%</t>
  </si>
  <si>
    <t>50% - 60%</t>
  </si>
  <si>
    <t>6 - 9 days</t>
  </si>
  <si>
    <t>Updated value</t>
  </si>
  <si>
    <t>Impact %</t>
  </si>
  <si>
    <t>Invoice Processing Cycle Time (AR)</t>
  </si>
  <si>
    <t>Collection Efficiency</t>
  </si>
  <si>
    <t>Invoice Accuracy (AR)</t>
  </si>
  <si>
    <t>% of Automated Invoices (AR)</t>
  </si>
  <si>
    <t>Productivity / Employee (AR)</t>
  </si>
  <si>
    <t>Timeliness of Journal Entries</t>
  </si>
  <si>
    <t>% of Automated Journal Entries</t>
  </si>
  <si>
    <t>Accuracy of Journal Entries</t>
  </si>
  <si>
    <t>Reconciliation Accuracy</t>
  </si>
  <si>
    <t>Invoice Processing Cycle Time (AP)</t>
  </si>
  <si>
    <t>PO Policy Compliance Rate</t>
  </si>
  <si>
    <t>% of Automated Invoices (AP)</t>
  </si>
  <si>
    <t>Productivity / Employee (AP)</t>
  </si>
  <si>
    <t>L1 Metrics&gt;&gt;</t>
  </si>
  <si>
    <t>Cost per Invoice (AR)</t>
  </si>
  <si>
    <t>Invoice Processing Cycle-Time</t>
  </si>
  <si>
    <t>Cost per Invoice (AP)</t>
  </si>
  <si>
    <t>30 - 45 days</t>
  </si>
  <si>
    <t>0% - 2%</t>
  </si>
  <si>
    <t>80% - 85%</t>
  </si>
  <si>
    <t>95-100%</t>
  </si>
  <si>
    <t>3% - 5%</t>
  </si>
  <si>
    <t>45 - 60 days</t>
  </si>
  <si>
    <t>IPTAR</t>
  </si>
  <si>
    <t>Impact Factor</t>
  </si>
  <si>
    <t>Change in IPTAR %</t>
  </si>
  <si>
    <t>Impact to DSO %</t>
  </si>
  <si>
    <t>FTMRAR</t>
  </si>
  <si>
    <t>CE</t>
  </si>
  <si>
    <t>IAAR</t>
  </si>
  <si>
    <t>AIAR</t>
  </si>
  <si>
    <t>PEAR</t>
  </si>
  <si>
    <t>TJE</t>
  </si>
  <si>
    <t>AJE</t>
  </si>
  <si>
    <t>ACJE</t>
  </si>
  <si>
    <t>RA</t>
  </si>
  <si>
    <t>IPTAP</t>
  </si>
  <si>
    <t>FTMRAP</t>
  </si>
  <si>
    <t>DSO-DPO</t>
  </si>
  <si>
    <t>PPCR</t>
  </si>
  <si>
    <t>AIAP</t>
  </si>
  <si>
    <t>PEAP</t>
  </si>
  <si>
    <t>L0&gt;&gt;</t>
  </si>
  <si>
    <t>-</t>
  </si>
  <si>
    <t>DSO</t>
  </si>
  <si>
    <t>BDR</t>
  </si>
  <si>
    <t>CPIAR</t>
  </si>
  <si>
    <t>CMS</t>
  </si>
  <si>
    <t>AFR</t>
  </si>
  <si>
    <t>CPIAP</t>
  </si>
  <si>
    <t>Level</t>
  </si>
  <si>
    <t>Metrics</t>
  </si>
  <si>
    <t>Slider ID</t>
  </si>
  <si>
    <t>Triangle</t>
  </si>
  <si>
    <t>Value</t>
  </si>
  <si>
    <t>IPT</t>
  </si>
  <si>
    <t>l2-metrics-ipt</t>
  </si>
  <si>
    <t>l2-triangle-ipt</t>
  </si>
  <si>
    <t>l2-value-ipt</t>
  </si>
  <si>
    <t>l2-metrics-bar</t>
  </si>
  <si>
    <t>l2-triangle-bar</t>
  </si>
  <si>
    <t>l2-value-bar</t>
  </si>
  <si>
    <t>l2-metrics-cffa</t>
  </si>
  <si>
    <t>l2-triangle-cffa</t>
  </si>
  <si>
    <t>l2-value-cffa</t>
  </si>
  <si>
    <t>CPI</t>
  </si>
  <si>
    <t>other-metrics-spct</t>
  </si>
  <si>
    <t>triangle-spct</t>
  </si>
  <si>
    <t>value-spct</t>
  </si>
  <si>
    <t>CFA</t>
  </si>
  <si>
    <t>other-metrics-apipt</t>
  </si>
  <si>
    <t>triangle-apipt</t>
  </si>
  <si>
    <t>value-apipt</t>
  </si>
  <si>
    <t>ERR</t>
  </si>
  <si>
    <t>other-metrics-sccr</t>
  </si>
  <si>
    <t>triangle-sccr</t>
  </si>
  <si>
    <t>value-sccr</t>
  </si>
  <si>
    <t>PCR</t>
  </si>
  <si>
    <t>other-metrics-ofct</t>
  </si>
  <si>
    <t>triangle-ofct</t>
  </si>
  <si>
    <t>value-ofct</t>
  </si>
  <si>
    <t>AMR</t>
  </si>
  <si>
    <t>other-metrics-idrt</t>
  </si>
  <si>
    <t>triangle-idrt</t>
  </si>
  <si>
    <t>value-idrt</t>
  </si>
  <si>
    <t>RNA</t>
  </si>
  <si>
    <t>other-metrics-arw</t>
  </si>
  <si>
    <t>triangle-arw</t>
  </si>
  <si>
    <t>value-arw</t>
  </si>
  <si>
    <t>other-metrics-jea</t>
  </si>
  <si>
    <t>triangle-jea</t>
  </si>
  <si>
    <t>value-jea</t>
  </si>
  <si>
    <t xml:space="preserve"> </t>
  </si>
  <si>
    <t>other-metrics-bsrt</t>
  </si>
  <si>
    <t>triangle-bsrt</t>
  </si>
  <si>
    <t>value-bsrt</t>
  </si>
  <si>
    <t>OTPR</t>
  </si>
  <si>
    <t>other-metrics-icrt</t>
  </si>
  <si>
    <t>triangle-icrt</t>
  </si>
  <si>
    <t>value-icrt</t>
  </si>
  <si>
    <t>POCR</t>
  </si>
  <si>
    <t>other-metrics-cpip</t>
  </si>
  <si>
    <t>triangle-cpip</t>
  </si>
  <si>
    <t>value-cpip</t>
  </si>
  <si>
    <t>l1-metrics-dso</t>
  </si>
  <si>
    <t>l1-triangle-dso</t>
  </si>
  <si>
    <t>l1-value-dso</t>
  </si>
  <si>
    <t>CEI</t>
  </si>
  <si>
    <t>l1-metrics-cei</t>
  </si>
  <si>
    <t>l1-triangle-cei</t>
  </si>
  <si>
    <t>l1-value-cei</t>
  </si>
  <si>
    <t>TTC</t>
  </si>
  <si>
    <t>l1-metrics-ttc</t>
  </si>
  <si>
    <t>l1-triangle-ttc</t>
  </si>
  <si>
    <t>l1-value-ttc</t>
  </si>
  <si>
    <t>AF</t>
  </si>
  <si>
    <t>l1-metrics-af</t>
  </si>
  <si>
    <t>l1-triangle-af</t>
  </si>
  <si>
    <t>l1-value-af</t>
  </si>
  <si>
    <t>l1-metrics-dpo</t>
  </si>
  <si>
    <t>l1-triangle-dpo</t>
  </si>
  <si>
    <t>l1-value-dpo</t>
  </si>
  <si>
    <t>CPPO</t>
  </si>
  <si>
    <t>l1-metrics-cppo</t>
  </si>
  <si>
    <t>l1-triangle-cppo</t>
  </si>
  <si>
    <t>l1-value-cppo</t>
  </si>
  <si>
    <t>intervention-icr</t>
  </si>
  <si>
    <t>icr-value-display</t>
  </si>
  <si>
    <t>intervention-rpa</t>
  </si>
  <si>
    <t>rpa-value-display</t>
  </si>
  <si>
    <t>intervention-ai-cash-app</t>
  </si>
  <si>
    <t>ai-cash-app-value-display</t>
  </si>
  <si>
    <t>intervention-cash-forecast</t>
  </si>
  <si>
    <t>cash-forecast-value-display</t>
  </si>
  <si>
    <t>intervention-ai-ap</t>
  </si>
  <si>
    <t>ai-ap-value-display</t>
  </si>
  <si>
    <t>intervention-analytics</t>
  </si>
  <si>
    <t>analytics-value-display</t>
  </si>
  <si>
    <t>OUTCOME</t>
  </si>
  <si>
    <t>INTERVENTIONS</t>
  </si>
  <si>
    <t>Overall Business Outcome</t>
  </si>
  <si>
    <t>Business Outcomes (L0)</t>
  </si>
  <si>
    <t>Baseline Values</t>
  </si>
  <si>
    <t>Updated Values</t>
  </si>
  <si>
    <t>Benchmarking Values (L0)</t>
  </si>
  <si>
    <t>Impact to Business Outcome</t>
  </si>
  <si>
    <t>Benchmarking Values (L1)</t>
  </si>
  <si>
    <r>
      <t xml:space="preserve">Impact </t>
    </r>
    <r>
      <rPr>
        <sz val="10"/>
        <color theme="1"/>
        <rFont val="Calibri"/>
        <family val="2"/>
      </rPr>
      <t>(from L2)</t>
    </r>
  </si>
  <si>
    <t>Benchmarking Values (L2)</t>
  </si>
  <si>
    <r>
      <t xml:space="preserve">Impact on L2 </t>
    </r>
    <r>
      <rPr>
        <sz val="10"/>
        <color theme="1"/>
        <rFont val="Calibri"/>
        <family val="2"/>
      </rPr>
      <t>(from interventions)</t>
    </r>
  </si>
  <si>
    <t>Intervention 1</t>
  </si>
  <si>
    <t>Intervention 2</t>
  </si>
  <si>
    <t>Intervention 3</t>
  </si>
  <si>
    <r>
      <t>Low</t>
    </r>
    <r>
      <rPr>
        <sz val="10"/>
        <color theme="1"/>
        <rFont val="Symbol"/>
        <family val="1"/>
        <charset val="2"/>
      </rPr>
      <t xml:space="preserve"> ¬</t>
    </r>
  </si>
  <si>
    <r>
      <rPr>
        <sz val="10"/>
        <color theme="1"/>
        <rFont val="Symbol"/>
        <family val="1"/>
        <charset val="2"/>
      </rPr>
      <t>®</t>
    </r>
    <r>
      <rPr>
        <sz val="10"/>
        <color theme="1"/>
        <rFont val="Calibri"/>
        <family val="2"/>
      </rPr>
      <t>High</t>
    </r>
  </si>
  <si>
    <r>
      <t xml:space="preserve">Low </t>
    </r>
    <r>
      <rPr>
        <sz val="10"/>
        <color theme="1"/>
        <rFont val="Symbol"/>
        <family val="1"/>
        <charset val="2"/>
      </rPr>
      <t>¬</t>
    </r>
  </si>
  <si>
    <t>Total Impact on L1</t>
  </si>
  <si>
    <t>Impact on L1</t>
  </si>
  <si>
    <r>
      <rPr>
        <b/>
        <sz val="10"/>
        <color theme="1"/>
        <rFont val="Symbol"/>
        <family val="1"/>
        <charset val="2"/>
      </rPr>
      <t>¬</t>
    </r>
    <r>
      <rPr>
        <b/>
        <sz val="10"/>
        <color theme="1"/>
        <rFont val="Calibri"/>
        <family val="2"/>
      </rPr>
      <t>Change in L2</t>
    </r>
  </si>
  <si>
    <t>Cumulative</t>
  </si>
  <si>
    <t>Cash Flow Improvement</t>
  </si>
  <si>
    <t>Cash Conversion Cycle (CCC)</t>
  </si>
  <si>
    <t>45 days</t>
  </si>
  <si>
    <t>DIO+DSO-DPO</t>
  </si>
  <si>
    <t>ΔDSO=(ΔInvoice Processing Time/Total Credit Sales per Day) + ((Change in Disputed Invoice Amount*×Resolution Time)/Total Credit Sales per Day) - ((Early Collections/Total Credit Sales per Day) * 30))</t>
  </si>
  <si>
    <t>ΔDSO= 
Total Credit Sales per Day /Change in Invoice Processing Time</t>
  </si>
  <si>
    <t>Invoice Processing Time</t>
  </si>
  <si>
    <t>1 day</t>
  </si>
  <si>
    <t>2 days</t>
  </si>
  <si>
    <t>ΔDSO= 
(Total Credit Sales per Day /
Disputed Invoice Amount)*Average Resolution Time</t>
  </si>
  <si>
    <t>Billing Accuracy Rate</t>
  </si>
  <si>
    <t xml:space="preserve">ΔDSO= 
Total Credit Sales per Day
Additional Early Collections
​
 </t>
  </si>
  <si>
    <t>60 days</t>
  </si>
  <si>
    <t>Supplier Payment Cycle Time</t>
  </si>
  <si>
    <t>AP Invoice Processing Time</t>
  </si>
  <si>
    <t>6 days</t>
  </si>
  <si>
    <t>9 days</t>
  </si>
  <si>
    <t>Supplier Contract Compliance Rate</t>
  </si>
  <si>
    <t>Invoice Dispute Resolution Time</t>
  </si>
  <si>
    <t>7 days</t>
  </si>
  <si>
    <t>14 days</t>
  </si>
  <si>
    <t>AR Write-offs %</t>
  </si>
  <si>
    <t>Financial Close Cycle Time (Monthly)</t>
  </si>
  <si>
    <t>Journal Entry Accuracy</t>
  </si>
  <si>
    <t>Balance Sheet Reconciliation Time</t>
  </si>
  <si>
    <t>Intercompany Reconciliation Time</t>
  </si>
  <si>
    <t>Working Capital</t>
  </si>
  <si>
    <t>Cost per Invoice Processed</t>
  </si>
  <si>
    <t>$3</t>
  </si>
  <si>
    <t>$4</t>
  </si>
  <si>
    <t>DIO</t>
  </si>
  <si>
    <t>Order Fulfillment Cycle Time</t>
  </si>
  <si>
    <t>Working Capital Turnover</t>
  </si>
  <si>
    <t>Cost Efficiency</t>
  </si>
  <si>
    <t>Net Profit / Income
P/E Ratio</t>
  </si>
  <si>
    <t>AP Processing Cost</t>
  </si>
  <si>
    <t>AR Processing Cost</t>
  </si>
  <si>
    <t>Financial Closing Cost (dependent on Cycle Time)</t>
  </si>
  <si>
    <t>Benchmark</t>
  </si>
  <si>
    <t>Cash Flow (Cash Conversion Cycle)</t>
  </si>
  <si>
    <t>&lt;30 days</t>
  </si>
  <si>
    <t>&lt;5 days</t>
  </si>
  <si>
    <t>&gt;=90%</t>
  </si>
  <si>
    <t>&gt;=80%</t>
  </si>
  <si>
    <t>&lt;3%</t>
  </si>
  <si>
    <t>$2.81</t>
  </si>
  <si>
    <t>Working Capital Efficiency</t>
  </si>
  <si>
    <t>&gt;=95%</t>
  </si>
  <si>
    <t>5-10 days</t>
  </si>
  <si>
    <t>Error rate</t>
  </si>
  <si>
    <t>&lt;5%</t>
  </si>
  <si>
    <t>Process Compliance rate</t>
  </si>
  <si>
    <t>Automation rate</t>
  </si>
  <si>
    <t>&lt;=2</t>
  </si>
  <si>
    <t>&lt;45 days</t>
  </si>
  <si>
    <t>On-time payment rate</t>
  </si>
  <si>
    <t>$50-$150</t>
  </si>
  <si>
    <t>Formulae</t>
  </si>
  <si>
    <t>Impact Logic</t>
  </si>
  <si>
    <t>Assumptions for calculations</t>
  </si>
  <si>
    <t>DSO = 
(Accounts Receivable (AR)/Total Credit Sales)*Number of Days</t>
  </si>
  <si>
    <t>Invoice Processing Time primarily impacts AR because a delay in invoicing means a delay in collecting payments
If Invoice Processing Time decreases by X%, then the AR should decrease proportionally (assuming all other factors remain constant)</t>
  </si>
  <si>
    <t>None
Inversely proportional. Direct % impact</t>
  </si>
  <si>
    <t>If invoices contain errors, corrections and disputes delay payment collection
A higher Billing Accuracy Rate reduces Invoice Dispute Rate, leading to faster collections and lower AR</t>
  </si>
  <si>
    <t>Cash Flow Forecast Accuracy (CFFA) impacts cash flow planning and collection strategies
If forecasting is accurate, businesses can plan proactive collections, reducing AR
If forecasting is inaccurate, businesses may be caught off guard, leading to higher AR and increased DSO</t>
  </si>
  <si>
    <t>Direct impact cannot be acertained. Dependency on payment terms, credit policy, industry specific factors, customer base, macroeconomic factors etc.</t>
  </si>
  <si>
    <t>DPO=(AP/COGS)*Number of days</t>
  </si>
  <si>
    <t>SPCT directly affects Accounts Payable (AP):
If SPCT increases, AP increases (since payments are delayed)
If SPCT decreases, AP decreases (since payments are made faster)
Since DPO is directly proportional to AP, any change in SPCT will proportionally impact DPO</t>
  </si>
  <si>
    <t>None
Directly proportional. Direct % impact</t>
  </si>
  <si>
    <t>Higher SCCR means suppliers adhere better to agreed payment terms, reducing unexpected early payments or penalties. This helps maintain or extend DPO if favorable terms are utilized
Lower SCCR can lead to shorter DPO due to forced early payments, penalties, or disruptions in payment scheduling</t>
  </si>
  <si>
    <t>No direct relationship to ascertain % impact</t>
  </si>
  <si>
    <t>DIO = (Inventory/COGS)*Number of days
Inventory=Daily Demand*OFCT</t>
  </si>
  <si>
    <t>Order Fulfillment Cycle Time is the total time taken from receiving an order to delivering it
A longer OFCT leads to slower inventory turnover, increasing DIO
A shorter OFCT leads to faster inventory movement, decreasing DIO</t>
  </si>
  <si>
    <t>Assuming an inversely proportional relationship</t>
  </si>
  <si>
    <t>CEI = ({Beginning AR + Credit Sales - Ending AR Total} / {Beginning AR + Credit Sales - Ending AR current})v* 100</t>
  </si>
  <si>
    <t>Billing Accuracy Rate impacting Ending AR current (X% increase in accuracy to provide Y% reduction in errors leading to Y% reduction in Ending AR current)</t>
  </si>
  <si>
    <r>
      <t xml:space="preserve">Impact dependent on relative values of </t>
    </r>
    <r>
      <rPr>
        <b/>
        <sz val="10"/>
        <color theme="1"/>
        <rFont val="Calibri"/>
        <family val="2"/>
      </rPr>
      <t>Beginning AR, Credit Sales and ending AR</t>
    </r>
  </si>
  <si>
    <t>Aged AR %</t>
  </si>
  <si>
    <t>Ending AR Total represents overdue receivables, which are part of Aged AR %
Aged AR % Increases → CEI Decreases
Aged AR % Decreases → CEI Increases</t>
  </si>
  <si>
    <t>Financial Close Cycle Time</t>
  </si>
  <si>
    <t>Journal Entry Time + Balance Sheet Reconciliation Time + Intercompany Reconciliation Time</t>
  </si>
  <si>
    <t>Direct correlation with Journal Entry Time</t>
  </si>
  <si>
    <r>
      <t xml:space="preserve">Impact based on relative values of </t>
    </r>
    <r>
      <rPr>
        <b/>
        <sz val="10"/>
        <color theme="1"/>
        <rFont val="Calibri"/>
        <family val="2"/>
      </rPr>
      <t>Balance Sheet Reconciliation Time</t>
    </r>
    <r>
      <rPr>
        <sz val="10"/>
        <color theme="1"/>
        <rFont val="Calibri"/>
        <family val="2"/>
      </rPr>
      <t xml:space="preserve"> and </t>
    </r>
    <r>
      <rPr>
        <b/>
        <sz val="10"/>
        <color theme="1"/>
        <rFont val="Calibri"/>
        <family val="2"/>
      </rPr>
      <t>Intercompany Reconciliation Time</t>
    </r>
  </si>
  <si>
    <r>
      <t xml:space="preserve">Impact based on relative values of </t>
    </r>
    <r>
      <rPr>
        <b/>
        <sz val="10"/>
        <color theme="1"/>
        <rFont val="Calibri"/>
        <family val="2"/>
      </rPr>
      <t>Journal Entry Time</t>
    </r>
    <r>
      <rPr>
        <sz val="10"/>
        <color theme="1"/>
        <rFont val="Calibri"/>
        <family val="2"/>
      </rPr>
      <t xml:space="preserve"> and </t>
    </r>
    <r>
      <rPr>
        <b/>
        <sz val="10"/>
        <color theme="1"/>
        <rFont val="Calibri"/>
        <family val="2"/>
      </rPr>
      <t>Intercompany Reconciliation Time</t>
    </r>
  </si>
  <si>
    <r>
      <t xml:space="preserve">Impact based on relative values of </t>
    </r>
    <r>
      <rPr>
        <b/>
        <sz val="10"/>
        <color theme="1"/>
        <rFont val="Calibri"/>
        <family val="2"/>
      </rPr>
      <t>Journal Entry Time</t>
    </r>
    <r>
      <rPr>
        <sz val="10"/>
        <color theme="1"/>
        <rFont val="Calibri"/>
        <family val="2"/>
      </rPr>
      <t xml:space="preserve"> and </t>
    </r>
    <r>
      <rPr>
        <b/>
        <sz val="10"/>
        <color theme="1"/>
        <rFont val="Calibri"/>
        <family val="2"/>
      </rPr>
      <t>Balance Sheet Reconciliation Time</t>
    </r>
  </si>
  <si>
    <t>WCT=Revenue (Net sales) / Working Capital
Working Capital = Current Assets - Current Liabilities</t>
  </si>
  <si>
    <t>A higher Aged AR % means slower collections, leading to higher AR balances and lower cash availability
AR is part of Current Assets, an increase in AR leads to higher Working Capital, which reduces WCT</t>
  </si>
  <si>
    <r>
      <t xml:space="preserve">Impact based on relative values of </t>
    </r>
    <r>
      <rPr>
        <b/>
        <sz val="10"/>
        <color theme="1"/>
        <rFont val="Calibri"/>
        <family val="2"/>
      </rPr>
      <t>Revenue</t>
    </r>
    <r>
      <rPr>
        <sz val="10"/>
        <color theme="1"/>
        <rFont val="Calibri"/>
        <family val="2"/>
      </rPr>
      <t xml:space="preserve"> and </t>
    </r>
    <r>
      <rPr>
        <b/>
        <sz val="10"/>
        <color theme="1"/>
        <rFont val="Calibri"/>
        <family val="2"/>
      </rPr>
      <t>Current Liabilities</t>
    </r>
  </si>
  <si>
    <t>Cost of Finance &amp; Admin Operations reduces by Y%
Errors and Adjustments reduce, preventing losses of Z%
Net Profit increases by (Y% + 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</si>
</sst>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0.0%;\▼0.0%"/>
    <numFmt numFmtId="167" formatCode="0.0"/>
    <numFmt numFmtId="168" formatCode="0.0\ &quot;days&quot;"/>
    <numFmt numFmtId="169" formatCode="0\ &quot;days&quot;"/>
    <numFmt numFmtId="170" formatCode="[$$-409]#,##0"/>
    <numFmt numFmtId="171" formatCode="[$$-409]#,##0.0"/>
    <numFmt numFmtId="172" formatCode="\▼0.0%;\▲0.0%"/>
    <numFmt numFmtId="173" formatCode="\▼0.0%;\ \▲0.0%;"/>
    <numFmt numFmtId="174" formatCode="\▲0%;\▼0%"/>
  </numFmts>
  <fonts count="43">
    <font>
      <sz val="11"/>
      <color theme="1"/>
      <name val="Calibri"/>
      <family val="2"/>
    </font>
    <font>
      <b/>
      <sz val="11"/>
      <color theme="1"/>
      <name val="Calibri"/>
      <family val="2"/>
    </font>
    <font>
      <sz val="11"/>
      <color theme="1"/>
      <name val="Aptos Narrow"/>
      <family val="2"/>
      <scheme val="minor"/>
    </font>
    <font>
      <sz val="10"/>
      <color theme="1"/>
      <name val="Calibri"/>
      <family val="2"/>
    </font>
    <font>
      <b/>
      <sz val="10"/>
      <color theme="1"/>
      <name val="Calibri"/>
      <family val="2"/>
    </font>
    <font>
      <sz val="10"/>
      <color theme="1"/>
      <name val="Symbol"/>
      <family val="1"/>
      <charset val="2"/>
    </font>
    <font>
      <sz val="10"/>
      <color theme="1"/>
      <name val="Calibri"/>
      <family val="1"/>
      <charset val="2"/>
    </font>
    <font>
      <b/>
      <sz val="10"/>
      <color theme="1"/>
      <name val="Symbol"/>
      <family val="1"/>
      <charset val="2"/>
    </font>
    <font>
      <b/>
      <sz val="10"/>
      <color theme="1"/>
      <name val="Calibri"/>
      <family val="1"/>
      <charset val="2"/>
    </font>
    <font>
      <sz val="8"/>
      <color theme="1"/>
      <name val="Calibri"/>
      <family val="2"/>
    </font>
    <font>
      <b/>
      <sz val="11"/>
      <color theme="0"/>
      <name val="Calibri"/>
      <family val="2"/>
    </font>
    <font>
      <sz val="11"/>
      <color theme="0"/>
      <name val="Calibri"/>
      <family val="2"/>
    </font>
    <font>
      <sz val="10"/>
      <color theme="8"/>
      <name val="Calibri"/>
      <family val="2"/>
    </font>
    <font>
      <sz val="8"/>
      <name val="Calibri"/>
      <family val="2"/>
    </font>
    <font>
      <sz val="9"/>
      <color indexed="81"/>
      <name val="Tahoma"/>
      <family val="2"/>
    </font>
    <font>
      <b/>
      <sz val="11"/>
      <color theme="1"/>
      <name val="Aptos Narrow"/>
      <family val="2"/>
      <scheme val="minor"/>
    </font>
    <font>
      <sz val="10"/>
      <color theme="7"/>
      <name val="Calibri"/>
      <family val="2"/>
    </font>
    <font>
      <b/>
      <sz val="10"/>
      <color theme="7"/>
      <name val="Calibri"/>
      <family val="2"/>
    </font>
    <font>
      <b/>
      <i/>
      <sz val="10"/>
      <color theme="1"/>
      <name val="Calibri"/>
      <family val="2"/>
    </font>
    <font>
      <i/>
      <sz val="10"/>
      <color theme="5"/>
      <name val="Calibri"/>
      <family val="2"/>
    </font>
    <font>
      <i/>
      <sz val="10"/>
      <color theme="9" tint="-0.249977111117893"/>
      <name val="Calibri"/>
      <family val="2"/>
    </font>
    <font>
      <b/>
      <sz val="11"/>
      <color rgb="FF000000"/>
      <name val="Calibri"/>
      <family val="2"/>
    </font>
    <font>
      <sz val="10"/>
      <color rgb="FF000000"/>
      <name val="Calibri"/>
      <family val="2"/>
    </font>
    <font>
      <sz val="11"/>
      <color theme="1"/>
      <name val="Calibri"/>
      <family val="2"/>
    </font>
    <font>
      <sz val="10"/>
      <color theme="0" tint="-4.9989318521683403E-2"/>
      <name val="Calibri"/>
      <family val="2"/>
    </font>
    <font>
      <b/>
      <sz val="9"/>
      <color theme="0" tint="-4.9989318521683403E-2"/>
      <name val="Calibri"/>
      <family val="2"/>
    </font>
    <font>
      <sz val="9"/>
      <color theme="1"/>
      <name val="Calibri"/>
      <family val="2"/>
    </font>
    <font>
      <b/>
      <sz val="9"/>
      <color theme="1"/>
      <name val="Calibri"/>
      <family val="2"/>
    </font>
    <font>
      <b/>
      <sz val="10"/>
      <color theme="4"/>
      <name val="Calibri"/>
      <family val="2"/>
    </font>
    <font>
      <sz val="10"/>
      <color theme="4"/>
      <name val="Calibri"/>
      <family val="2"/>
    </font>
    <font>
      <sz val="9"/>
      <color theme="4"/>
      <name val="Calibri"/>
      <family val="2"/>
    </font>
    <font>
      <sz val="10"/>
      <color rgb="FF990000"/>
      <name val="Calibri"/>
      <family val="2"/>
    </font>
    <font>
      <b/>
      <sz val="10"/>
      <color theme="4" tint="0.79998168889431442"/>
      <name val="Calibri"/>
      <family val="2"/>
    </font>
    <font>
      <b/>
      <sz val="9"/>
      <color indexed="81"/>
      <name val="Tahoma"/>
      <family val="2"/>
    </font>
    <font>
      <sz val="8"/>
      <color indexed="81"/>
      <name val="Tahoma"/>
      <family val="2"/>
    </font>
    <font>
      <sz val="10"/>
      <name val="Calibri"/>
      <family val="2"/>
    </font>
    <font>
      <sz val="10"/>
      <color theme="0"/>
      <name val="Calibri"/>
      <family val="2"/>
    </font>
    <font>
      <b/>
      <sz val="10"/>
      <name val="Calibri"/>
      <family val="2"/>
    </font>
    <font>
      <sz val="10"/>
      <name val="Aptos Narrow"/>
      <family val="2"/>
      <scheme val="minor"/>
    </font>
    <font>
      <b/>
      <sz val="10"/>
      <color theme="0"/>
      <name val="Calibri"/>
      <family val="2"/>
    </font>
    <font>
      <b/>
      <sz val="9"/>
      <color theme="0"/>
      <name val="Calibri"/>
      <family val="2"/>
    </font>
    <font>
      <sz val="9"/>
      <color rgb="FF000000"/>
      <name val="Calibri"/>
      <family val="2"/>
    </font>
    <font>
      <b/>
      <sz val="10"/>
      <color rgb="FF000000"/>
      <name val="Calibri"/>
      <family val="2"/>
    </font>
  </fonts>
  <fills count="35">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2E5"/>
        <bgColor indexed="64"/>
      </patternFill>
    </fill>
    <fill>
      <patternFill patternType="solid">
        <fgColor rgb="FFE7F7FD"/>
        <bgColor indexed="64"/>
      </patternFill>
    </fill>
    <fill>
      <patternFill patternType="solid">
        <fgColor theme="4" tint="0.79998168889431442"/>
        <bgColor indexed="64"/>
      </patternFill>
    </fill>
    <fill>
      <patternFill patternType="solid">
        <fgColor rgb="FFF5D3F1"/>
        <bgColor indexed="64"/>
      </patternFill>
    </fill>
    <fill>
      <patternFill patternType="solid">
        <fgColor theme="9" tint="0.79998168889431442"/>
        <bgColor indexed="64"/>
      </patternFill>
    </fill>
    <fill>
      <patternFill patternType="solid">
        <fgColor theme="1"/>
        <bgColor indexed="64"/>
      </patternFill>
    </fill>
    <fill>
      <patternFill patternType="solid">
        <fgColor theme="2"/>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rgb="FF002060"/>
        <bgColor indexed="64"/>
      </patternFill>
    </fill>
    <fill>
      <patternFill patternType="solid">
        <fgColor theme="1" tint="0.34998626667073579"/>
        <bgColor indexed="64"/>
      </patternFill>
    </fill>
    <fill>
      <patternFill patternType="solid">
        <fgColor theme="1"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249977111117893"/>
        <bgColor indexed="64"/>
      </patternFill>
    </fill>
    <fill>
      <patternFill patternType="solid">
        <fgColor rgb="FF23456F"/>
        <bgColor indexed="64"/>
      </patternFill>
    </fill>
    <fill>
      <patternFill patternType="solid">
        <fgColor rgb="FFFFFF00"/>
        <bgColor indexed="64"/>
      </patternFill>
    </fill>
    <fill>
      <patternFill patternType="solid">
        <fgColor theme="1" tint="0.499984740745262"/>
        <bgColor indexed="64"/>
      </patternFill>
    </fill>
    <fill>
      <patternFill patternType="solid">
        <fgColor rgb="FFFDE9D9"/>
        <bgColor rgb="FF000000"/>
      </patternFill>
    </fill>
    <fill>
      <patternFill patternType="solid">
        <fgColor theme="8" tint="0.79998168889431442"/>
        <bgColor rgb="FF000000"/>
      </patternFill>
    </fill>
    <fill>
      <patternFill patternType="solid">
        <fgColor theme="5"/>
        <bgColor indexed="64"/>
      </patternFill>
    </fill>
    <fill>
      <patternFill patternType="solid">
        <fgColor theme="7"/>
        <bgColor indexed="64"/>
      </patternFill>
    </fill>
    <fill>
      <patternFill patternType="solid">
        <fgColor theme="4"/>
        <bgColor indexed="64"/>
      </patternFill>
    </fill>
    <fill>
      <patternFill patternType="solid">
        <fgColor rgb="FFFFFF00"/>
        <bgColor rgb="FF000000"/>
      </patternFill>
    </fill>
    <fill>
      <patternFill patternType="solid">
        <fgColor rgb="FFDCE6F1"/>
        <bgColor rgb="FF000000"/>
      </patternFill>
    </fill>
    <fill>
      <patternFill patternType="solid">
        <fgColor rgb="FFEBF1DE"/>
        <bgColor rgb="FF000000"/>
      </patternFill>
    </fill>
    <fill>
      <patternFill patternType="solid">
        <fgColor theme="3" tint="0.89999084444715716"/>
        <bgColor indexed="64"/>
      </patternFill>
    </fill>
    <fill>
      <patternFill patternType="solid">
        <fgColor theme="8"/>
        <bgColor indexed="64"/>
      </patternFill>
    </fill>
    <fill>
      <patternFill patternType="solid">
        <fgColor rgb="FF7030A0"/>
        <bgColor indexed="64"/>
      </patternFill>
    </fill>
  </fills>
  <borders count="110">
    <border>
      <left/>
      <right/>
      <top/>
      <bottom/>
      <diagonal/>
    </border>
    <border>
      <left/>
      <right/>
      <top style="thin">
        <color theme="0" tint="-0.34998626667073579"/>
      </top>
      <bottom/>
      <diagonal/>
    </border>
    <border>
      <left/>
      <right/>
      <top/>
      <bottom style="thin">
        <color theme="0" tint="-0.34998626667073579"/>
      </bottom>
      <diagonal/>
    </border>
    <border>
      <left/>
      <right/>
      <top/>
      <bottom style="thin">
        <color theme="0" tint="-0.14999847407452621"/>
      </bottom>
      <diagonal/>
    </border>
    <border>
      <left/>
      <right/>
      <top style="thin">
        <color theme="0" tint="-0.14999847407452621"/>
      </top>
      <bottom/>
      <diagonal/>
    </border>
    <border>
      <left style="thin">
        <color theme="0" tint="-4.9989318521683403E-2"/>
      </left>
      <right/>
      <top style="thin">
        <color theme="0" tint="-0.34998626667073579"/>
      </top>
      <bottom/>
      <diagonal/>
    </border>
    <border>
      <left style="thin">
        <color theme="0" tint="-4.9989318521683403E-2"/>
      </left>
      <right/>
      <top/>
      <bottom/>
      <diagonal/>
    </border>
    <border>
      <left style="thin">
        <color theme="0" tint="-4.9989318521683403E-2"/>
      </left>
      <right/>
      <top/>
      <bottom style="thin">
        <color theme="0" tint="-0.34998626667073579"/>
      </bottom>
      <diagonal/>
    </border>
    <border>
      <left/>
      <right/>
      <top style="thin">
        <color theme="2"/>
      </top>
      <bottom/>
      <diagonal/>
    </border>
    <border>
      <left style="thin">
        <color theme="2"/>
      </left>
      <right/>
      <top/>
      <bottom style="thin">
        <color theme="0" tint="-0.34998626667073579"/>
      </bottom>
      <diagonal/>
    </border>
    <border>
      <left/>
      <right style="thin">
        <color theme="2"/>
      </right>
      <top/>
      <bottom style="thin">
        <color theme="0" tint="-0.34998626667073579"/>
      </bottom>
      <diagonal/>
    </border>
    <border>
      <left style="thin">
        <color theme="2"/>
      </left>
      <right/>
      <top style="thin">
        <color theme="0" tint="-0.34998626667073579"/>
      </top>
      <bottom/>
      <diagonal/>
    </border>
    <border>
      <left style="thin">
        <color theme="2"/>
      </left>
      <right/>
      <top/>
      <bottom/>
      <diagonal/>
    </border>
    <border>
      <left/>
      <right style="thin">
        <color theme="2"/>
      </right>
      <top/>
      <bottom/>
      <diagonal/>
    </border>
    <border>
      <left style="thin">
        <color theme="2"/>
      </left>
      <right/>
      <top/>
      <bottom style="thin">
        <color theme="0" tint="-0.14999847407452621"/>
      </bottom>
      <diagonal/>
    </border>
    <border>
      <left style="thin">
        <color theme="2"/>
      </left>
      <right/>
      <top style="thin">
        <color theme="0" tint="-0.14999847407452621"/>
      </top>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
      <left/>
      <right style="thin">
        <color theme="0" tint="-0.34998626667073579"/>
      </right>
      <top/>
      <bottom style="thin">
        <color theme="2"/>
      </bottom>
      <diagonal/>
    </border>
    <border>
      <left style="thin">
        <color theme="2"/>
      </left>
      <right style="thin">
        <color theme="2"/>
      </right>
      <top/>
      <bottom/>
      <diagonal/>
    </border>
    <border>
      <left style="thin">
        <color theme="2"/>
      </left>
      <right style="thin">
        <color theme="2"/>
      </right>
      <top style="thin">
        <color theme="0" tint="-0.34998626667073579"/>
      </top>
      <bottom/>
      <diagonal/>
    </border>
    <border>
      <left style="thin">
        <color theme="2"/>
      </left>
      <right style="thin">
        <color theme="2"/>
      </right>
      <top/>
      <bottom style="thin">
        <color theme="0" tint="-0.34998626667073579"/>
      </bottom>
      <diagonal/>
    </border>
    <border>
      <left style="thin">
        <color theme="2"/>
      </left>
      <right style="thin">
        <color theme="2"/>
      </right>
      <top style="thin">
        <color theme="0" tint="-0.14999847407452621"/>
      </top>
      <bottom/>
      <diagonal/>
    </border>
    <border>
      <left style="thin">
        <color theme="2"/>
      </left>
      <right style="thin">
        <color theme="2"/>
      </right>
      <top/>
      <bottom style="thin">
        <color theme="0" tint="-0.14999847407452621"/>
      </bottom>
      <diagonal/>
    </border>
    <border>
      <left style="thin">
        <color theme="0" tint="-4.9989318521683403E-2"/>
      </left>
      <right/>
      <top/>
      <bottom style="thin">
        <color theme="0" tint="-0.249977111117893"/>
      </bottom>
      <diagonal/>
    </border>
    <border>
      <left style="thin">
        <color theme="2"/>
      </left>
      <right/>
      <top style="thin">
        <color theme="2"/>
      </top>
      <bottom style="thin">
        <color theme="0" tint="-0.249977111117893"/>
      </bottom>
      <diagonal/>
    </border>
    <border>
      <left/>
      <right style="thin">
        <color theme="0" tint="-0.34998626667073579"/>
      </right>
      <top style="thin">
        <color theme="2"/>
      </top>
      <bottom style="thin">
        <color theme="0" tint="-0.249977111117893"/>
      </bottom>
      <diagonal/>
    </border>
    <border>
      <left/>
      <right style="thin">
        <color theme="0" tint="-4.9989318521683403E-2"/>
      </right>
      <top/>
      <bottom/>
      <diagonal/>
    </border>
    <border>
      <left/>
      <right style="thin">
        <color theme="0" tint="-4.9989318521683403E-2"/>
      </right>
      <top style="thin">
        <color theme="0" tint="-0.34998626667073579"/>
      </top>
      <bottom/>
      <diagonal/>
    </border>
    <border>
      <left/>
      <right style="thin">
        <color theme="0" tint="-4.9989318521683403E-2"/>
      </right>
      <top/>
      <bottom style="thin">
        <color theme="2"/>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style="thin">
        <color theme="0" tint="-0.34998626667073579"/>
      </bottom>
      <diagonal/>
    </border>
    <border>
      <left/>
      <right style="medium">
        <color theme="0" tint="-0.249977111117893"/>
      </right>
      <top/>
      <bottom style="thin">
        <color theme="0" tint="-0.34998626667073579"/>
      </bottom>
      <diagonal/>
    </border>
    <border>
      <left style="medium">
        <color theme="0" tint="-0.249977111117893"/>
      </left>
      <right/>
      <top style="thin">
        <color theme="0" tint="-0.34998626667073579"/>
      </top>
      <bottom/>
      <diagonal/>
    </border>
    <border>
      <left/>
      <right style="medium">
        <color theme="0" tint="-0.249977111117893"/>
      </right>
      <top/>
      <bottom/>
      <diagonal/>
    </border>
    <border>
      <left style="medium">
        <color theme="0" tint="-0.249977111117893"/>
      </left>
      <right/>
      <top/>
      <bottom/>
      <diagonal/>
    </border>
    <border>
      <left style="medium">
        <color theme="0" tint="-0.249977111117893"/>
      </left>
      <right/>
      <top/>
      <bottom style="thin">
        <color theme="0" tint="-0.14999847407452621"/>
      </bottom>
      <diagonal/>
    </border>
    <border>
      <left/>
      <right style="medium">
        <color theme="0" tint="-0.249977111117893"/>
      </right>
      <top/>
      <bottom style="thin">
        <color theme="0" tint="-0.14999847407452621"/>
      </bottom>
      <diagonal/>
    </border>
    <border>
      <left style="medium">
        <color theme="0" tint="-0.249977111117893"/>
      </left>
      <right/>
      <top style="thin">
        <color theme="0" tint="-0.14999847407452621"/>
      </top>
      <bottom/>
      <diagonal/>
    </border>
    <border>
      <left/>
      <right style="medium">
        <color theme="0" tint="-0.249977111117893"/>
      </right>
      <top style="thin">
        <color theme="0" tint="-0.14999847407452621"/>
      </top>
      <bottom/>
      <diagonal/>
    </border>
    <border>
      <left/>
      <right style="medium">
        <color theme="0" tint="-0.249977111117893"/>
      </right>
      <top style="thin">
        <color theme="0" tint="-0.34998626667073579"/>
      </top>
      <bottom/>
      <diagonal/>
    </border>
    <border>
      <left style="medium">
        <color theme="0" tint="-0.249977111117893"/>
      </left>
      <right/>
      <top/>
      <bottom style="thin">
        <color theme="2"/>
      </bottom>
      <diagonal/>
    </border>
    <border>
      <left/>
      <right style="medium">
        <color theme="0" tint="-0.249977111117893"/>
      </right>
      <top/>
      <bottom style="thin">
        <color theme="2"/>
      </bottom>
      <diagonal/>
    </border>
    <border>
      <left/>
      <right style="medium">
        <color theme="0" tint="-0.249977111117893"/>
      </right>
      <top style="thin">
        <color theme="2"/>
      </top>
      <bottom style="thin">
        <color theme="0" tint="-0.249977111117893"/>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2"/>
      </left>
      <right/>
      <top/>
      <bottom style="medium">
        <color theme="0" tint="-0.249977111117893"/>
      </bottom>
      <diagonal/>
    </border>
    <border>
      <left/>
      <right style="medium">
        <color theme="0" tint="-0.249977111117893"/>
      </right>
      <top/>
      <bottom style="medium">
        <color theme="0" tint="-0.249977111117893"/>
      </bottom>
      <diagonal/>
    </border>
    <border>
      <left/>
      <right style="thin">
        <color theme="2"/>
      </right>
      <top style="medium">
        <color theme="0" tint="-0.249977111117893"/>
      </top>
      <bottom/>
      <diagonal/>
    </border>
    <border>
      <left style="thin">
        <color theme="2"/>
      </left>
      <right/>
      <top style="medium">
        <color theme="0" tint="-0.249977111117893"/>
      </top>
      <bottom/>
      <diagonal/>
    </border>
    <border>
      <left/>
      <right style="medium">
        <color theme="0" tint="-0.249977111117893"/>
      </right>
      <top style="thin">
        <color theme="2"/>
      </top>
      <bottom/>
      <diagonal/>
    </border>
    <border>
      <left style="medium">
        <color theme="0" tint="-0.249977111117893"/>
      </left>
      <right style="thin">
        <color theme="0" tint="-4.9989318521683403E-2"/>
      </right>
      <top style="thin">
        <color theme="0" tint="-0.34998626667073579"/>
      </top>
      <bottom/>
      <diagonal/>
    </border>
    <border>
      <left style="medium">
        <color theme="0" tint="-0.249977111117893"/>
      </left>
      <right style="thin">
        <color theme="0" tint="-4.9989318521683403E-2"/>
      </right>
      <top/>
      <bottom/>
      <diagonal/>
    </border>
    <border>
      <left style="medium">
        <color theme="0" tint="-0.249977111117893"/>
      </left>
      <right style="thin">
        <color theme="0" tint="-4.9989318521683403E-2"/>
      </right>
      <top/>
      <bottom style="medium">
        <color theme="0" tint="-0.249977111117893"/>
      </bottom>
      <diagonal/>
    </border>
    <border>
      <left style="medium">
        <color theme="0" tint="-0.249977111117893"/>
      </left>
      <right style="thin">
        <color theme="2"/>
      </right>
      <top style="thin">
        <color theme="0" tint="-0.34998626667073579"/>
      </top>
      <bottom/>
      <diagonal/>
    </border>
    <border>
      <left style="medium">
        <color theme="0" tint="-0.249977111117893"/>
      </left>
      <right style="thin">
        <color theme="2"/>
      </right>
      <top/>
      <bottom/>
      <diagonal/>
    </border>
    <border>
      <left style="thin">
        <color theme="0" tint="-4.9989318521683403E-2"/>
      </left>
      <right/>
      <top/>
      <bottom style="medium">
        <color theme="0" tint="-0.249977111117893"/>
      </bottom>
      <diagonal/>
    </border>
    <border>
      <left/>
      <right style="thin">
        <color theme="0" tint="-4.9989318521683403E-2"/>
      </right>
      <top/>
      <bottom style="medium">
        <color theme="0" tint="-0.249977111117893"/>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right style="thin">
        <color theme="0" tint="-4.9989318521683403E-2"/>
      </right>
      <top style="thin">
        <color theme="0" tint="-4.9989318521683403E-2"/>
      </top>
      <bottom/>
      <diagonal/>
    </border>
    <border>
      <left/>
      <right/>
      <top style="thin">
        <color theme="0" tint="-4.9989318521683403E-2"/>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1" tint="0.499984740745262"/>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theme="1" tint="0.499984740745262"/>
      </bottom>
      <diagonal/>
    </border>
    <border>
      <left/>
      <right style="medium">
        <color indexed="64"/>
      </right>
      <top/>
      <bottom style="thin">
        <color theme="1" tint="0.499984740745262"/>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theme="0" tint="-0.249977111117893"/>
      </bottom>
      <diagonal/>
    </border>
    <border>
      <left style="medium">
        <color indexed="64"/>
      </left>
      <right style="medium">
        <color indexed="64"/>
      </right>
      <top style="thin">
        <color theme="0" tint="-0.249977111117893"/>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thin">
        <color auto="1"/>
      </right>
      <top style="thin">
        <color auto="1"/>
      </top>
      <bottom style="thin">
        <color auto="1"/>
      </bottom>
      <diagonal/>
    </border>
    <border>
      <left/>
      <right/>
      <top style="medium">
        <color indexed="64"/>
      </top>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thin">
        <color theme="1" tint="0.499984740745262"/>
      </bottom>
      <diagonal/>
    </border>
    <border>
      <left/>
      <right style="medium">
        <color theme="1"/>
      </right>
      <top/>
      <bottom style="thin">
        <color theme="1" tint="0.499984740745262"/>
      </bottom>
      <diagonal/>
    </border>
    <border>
      <left style="medium">
        <color theme="1"/>
      </left>
      <right/>
      <top/>
      <bottom style="medium">
        <color theme="1"/>
      </bottom>
      <diagonal/>
    </border>
    <border>
      <left/>
      <right style="medium">
        <color theme="1"/>
      </right>
      <top/>
      <bottom style="medium">
        <color theme="1"/>
      </bottom>
      <diagonal/>
    </border>
    <border>
      <left/>
      <right/>
      <top style="medium">
        <color theme="1"/>
      </top>
      <bottom/>
      <diagonal/>
    </border>
    <border>
      <left/>
      <right/>
      <top/>
      <bottom style="medium">
        <color theme="1"/>
      </bottom>
      <diagonal/>
    </border>
  </borders>
  <cellStyleXfs count="5">
    <xf numFmtId="0" fontId="0" fillId="0" borderId="0"/>
    <xf numFmtId="0" fontId="2" fillId="0" borderId="0"/>
    <xf numFmtId="0" fontId="3" fillId="0" borderId="0"/>
    <xf numFmtId="9" fontId="23" fillId="0" borderId="0" applyFont="0" applyFill="0" applyBorder="0" applyAlignment="0" applyProtection="0"/>
    <xf numFmtId="0" fontId="2" fillId="0" borderId="0"/>
  </cellStyleXfs>
  <cellXfs count="459">
    <xf numFmtId="0" fontId="0" fillId="0" borderId="0" xfId="0"/>
    <xf numFmtId="0" fontId="2" fillId="0" borderId="0" xfId="1"/>
    <xf numFmtId="0" fontId="3" fillId="0" borderId="0" xfId="1" applyFont="1"/>
    <xf numFmtId="0" fontId="4" fillId="2" borderId="1" xfId="1" applyFont="1" applyFill="1" applyBorder="1" applyAlignment="1">
      <alignment horizontal="center" vertical="center" wrapText="1"/>
    </xf>
    <xf numFmtId="0" fontId="3" fillId="0" borderId="0" xfId="1" applyFont="1" applyAlignment="1">
      <alignment vertical="center"/>
    </xf>
    <xf numFmtId="0" fontId="4" fillId="2" borderId="2" xfId="1" applyFont="1" applyFill="1" applyBorder="1" applyAlignment="1">
      <alignment horizontal="center" vertical="center" wrapText="1"/>
    </xf>
    <xf numFmtId="0" fontId="3" fillId="5" borderId="2" xfId="1" applyFont="1" applyFill="1" applyBorder="1" applyAlignment="1">
      <alignment horizontal="right" vertical="center"/>
    </xf>
    <xf numFmtId="0" fontId="6" fillId="5" borderId="2" xfId="1" applyFont="1" applyFill="1" applyBorder="1" applyAlignment="1">
      <alignment horizontal="left" vertical="center"/>
    </xf>
    <xf numFmtId="0" fontId="4" fillId="6" borderId="2" xfId="1" applyFont="1" applyFill="1" applyBorder="1" applyAlignment="1">
      <alignment horizontal="center" vertical="center"/>
    </xf>
    <xf numFmtId="0" fontId="4" fillId="0" borderId="0" xfId="1" applyFont="1" applyAlignment="1">
      <alignment horizontal="center" vertical="center" wrapText="1"/>
    </xf>
    <xf numFmtId="0" fontId="4" fillId="0" borderId="1" xfId="1" applyFont="1" applyBorder="1" applyAlignment="1">
      <alignment horizontal="left" vertical="center"/>
    </xf>
    <xf numFmtId="0" fontId="3" fillId="0" borderId="1" xfId="1" applyFont="1" applyBorder="1" applyAlignment="1">
      <alignment vertical="center"/>
    </xf>
    <xf numFmtId="0" fontId="4" fillId="0" borderId="0" xfId="1" applyFont="1" applyAlignment="1">
      <alignment horizontal="left" vertical="center"/>
    </xf>
    <xf numFmtId="0" fontId="4" fillId="0" borderId="0" xfId="1" applyFont="1" applyAlignment="1">
      <alignment vertical="center"/>
    </xf>
    <xf numFmtId="0" fontId="3" fillId="0" borderId="3" xfId="1" applyFont="1" applyBorder="1" applyAlignment="1">
      <alignment vertical="center"/>
    </xf>
    <xf numFmtId="0" fontId="3" fillId="0" borderId="4" xfId="1" applyFont="1" applyBorder="1" applyAlignment="1">
      <alignment vertical="center"/>
    </xf>
    <xf numFmtId="0" fontId="4" fillId="0" borderId="2" xfId="1" applyFont="1" applyBorder="1" applyAlignment="1">
      <alignment horizontal="left" vertical="center"/>
    </xf>
    <xf numFmtId="0" fontId="3" fillId="0" borderId="2" xfId="1" applyFont="1" applyBorder="1" applyAlignment="1">
      <alignment vertical="center"/>
    </xf>
    <xf numFmtId="0" fontId="4" fillId="0" borderId="0" xfId="1" applyFont="1" applyAlignment="1">
      <alignment horizontal="left" vertical="center" wrapText="1"/>
    </xf>
    <xf numFmtId="0" fontId="1" fillId="0" borderId="0" xfId="0" applyFont="1"/>
    <xf numFmtId="0" fontId="8" fillId="6" borderId="2" xfId="1" applyFont="1" applyFill="1" applyBorder="1" applyAlignment="1">
      <alignment horizontal="center" vertical="center"/>
    </xf>
    <xf numFmtId="0" fontId="3" fillId="6" borderId="2" xfId="1" applyFont="1" applyFill="1" applyBorder="1" applyAlignment="1">
      <alignment horizontal="center" vertical="center"/>
    </xf>
    <xf numFmtId="0" fontId="4" fillId="0" borderId="11" xfId="1" applyFont="1" applyBorder="1" applyAlignment="1">
      <alignment vertical="center"/>
    </xf>
    <xf numFmtId="0" fontId="4" fillId="0" borderId="12" xfId="1" applyFont="1" applyBorder="1" applyAlignment="1">
      <alignment vertical="center"/>
    </xf>
    <xf numFmtId="0" fontId="4" fillId="0" borderId="14" xfId="1" applyFont="1" applyBorder="1" applyAlignment="1">
      <alignment vertical="center"/>
    </xf>
    <xf numFmtId="0" fontId="4" fillId="0" borderId="15" xfId="1" applyFont="1" applyBorder="1" applyAlignment="1">
      <alignment vertical="center"/>
    </xf>
    <xf numFmtId="0" fontId="4" fillId="0" borderId="9" xfId="1" applyFont="1" applyBorder="1" applyAlignment="1">
      <alignment vertical="center"/>
    </xf>
    <xf numFmtId="0" fontId="3" fillId="0" borderId="11" xfId="1" applyFont="1" applyBorder="1" applyAlignment="1">
      <alignment vertical="center"/>
    </xf>
    <xf numFmtId="0" fontId="3" fillId="0" borderId="12" xfId="1" applyFont="1" applyBorder="1" applyAlignment="1">
      <alignment vertical="center"/>
    </xf>
    <xf numFmtId="0" fontId="3" fillId="0" borderId="14" xfId="1" applyFont="1" applyBorder="1" applyAlignment="1">
      <alignment vertical="center"/>
    </xf>
    <xf numFmtId="0" fontId="3" fillId="0" borderId="15" xfId="1" applyFont="1" applyBorder="1" applyAlignment="1">
      <alignment vertical="center"/>
    </xf>
    <xf numFmtId="0" fontId="3" fillId="0" borderId="9" xfId="1" applyFont="1" applyBorder="1" applyAlignment="1">
      <alignment vertical="center"/>
    </xf>
    <xf numFmtId="0" fontId="3" fillId="0" borderId="1" xfId="1" applyFont="1" applyBorder="1" applyAlignment="1">
      <alignment vertical="center" wrapText="1"/>
    </xf>
    <xf numFmtId="0" fontId="9" fillId="0" borderId="0" xfId="1" applyFont="1"/>
    <xf numFmtId="0" fontId="4" fillId="0" borderId="12" xfId="1" applyFont="1" applyBorder="1" applyAlignment="1">
      <alignment horizontal="left" vertical="center"/>
    </xf>
    <xf numFmtId="0" fontId="4" fillId="0" borderId="11" xfId="1" applyFont="1" applyBorder="1" applyAlignment="1">
      <alignment horizontal="left" vertical="center"/>
    </xf>
    <xf numFmtId="0" fontId="4" fillId="0" borderId="14" xfId="1" applyFont="1" applyBorder="1" applyAlignment="1">
      <alignment horizontal="left" vertical="center"/>
    </xf>
    <xf numFmtId="0" fontId="0" fillId="0" borderId="0" xfId="0" quotePrefix="1"/>
    <xf numFmtId="0" fontId="4" fillId="0" borderId="11" xfId="1" applyFont="1" applyBorder="1" applyAlignment="1">
      <alignment vertical="center" wrapText="1"/>
    </xf>
    <xf numFmtId="0" fontId="3" fillId="0" borderId="0" xfId="1" applyFont="1" applyAlignment="1">
      <alignment vertical="center" wrapText="1"/>
    </xf>
    <xf numFmtId="0" fontId="4" fillId="0" borderId="9" xfId="1" applyFont="1" applyBorder="1" applyAlignment="1">
      <alignment vertical="center" wrapText="1"/>
    </xf>
    <xf numFmtId="0" fontId="3" fillId="9" borderId="11" xfId="1" applyFont="1" applyFill="1" applyBorder="1" applyAlignment="1">
      <alignment vertical="center"/>
    </xf>
    <xf numFmtId="0" fontId="3" fillId="9" borderId="12" xfId="1" applyFont="1" applyFill="1" applyBorder="1" applyAlignment="1">
      <alignment vertical="center"/>
    </xf>
    <xf numFmtId="0" fontId="3" fillId="9" borderId="15" xfId="1" applyFont="1" applyFill="1" applyBorder="1" applyAlignment="1">
      <alignment vertical="center"/>
    </xf>
    <xf numFmtId="0" fontId="3" fillId="9" borderId="9" xfId="1" applyFont="1" applyFill="1" applyBorder="1" applyAlignment="1">
      <alignment vertical="center"/>
    </xf>
    <xf numFmtId="0" fontId="3" fillId="0" borderId="16" xfId="1" applyFont="1" applyBorder="1" applyAlignment="1">
      <alignment vertical="center"/>
    </xf>
    <xf numFmtId="0" fontId="4" fillId="0" borderId="20" xfId="1" applyFont="1" applyBorder="1" applyAlignment="1">
      <alignment vertical="center" wrapText="1"/>
    </xf>
    <xf numFmtId="0" fontId="4" fillId="0" borderId="12" xfId="1" applyFont="1" applyBorder="1" applyAlignment="1">
      <alignment horizontal="left" vertical="center" wrapText="1"/>
    </xf>
    <xf numFmtId="0" fontId="3" fillId="0" borderId="0" xfId="0" applyFont="1" applyAlignment="1">
      <alignment vertical="center" wrapText="1"/>
    </xf>
    <xf numFmtId="0" fontId="3" fillId="0" borderId="0" xfId="0" applyFont="1"/>
    <xf numFmtId="0" fontId="4" fillId="0" borderId="21" xfId="1" applyFont="1" applyBorder="1" applyAlignment="1">
      <alignment horizontal="left" vertical="center"/>
    </xf>
    <xf numFmtId="0" fontId="3" fillId="0" borderId="1" xfId="1" applyFont="1" applyBorder="1" applyAlignment="1">
      <alignment horizontal="center" vertical="center"/>
    </xf>
    <xf numFmtId="0" fontId="3" fillId="0" borderId="0" xfId="1" applyFont="1" applyAlignment="1">
      <alignment horizontal="center" vertical="center"/>
    </xf>
    <xf numFmtId="0" fontId="3" fillId="0" borderId="3" xfId="1" applyFont="1" applyBorder="1" applyAlignment="1">
      <alignment horizontal="center" vertical="center"/>
    </xf>
    <xf numFmtId="0" fontId="3" fillId="0" borderId="17" xfId="1" applyFont="1" applyBorder="1" applyAlignment="1">
      <alignment vertical="center"/>
    </xf>
    <xf numFmtId="0" fontId="3" fillId="0" borderId="18" xfId="1" applyFont="1" applyBorder="1" applyAlignment="1">
      <alignment vertical="center"/>
    </xf>
    <xf numFmtId="0" fontId="3" fillId="0" borderId="13" xfId="1" applyFont="1" applyBorder="1" applyAlignment="1">
      <alignment vertical="center"/>
    </xf>
    <xf numFmtId="0" fontId="3" fillId="0" borderId="2" xfId="1" applyFont="1" applyBorder="1" applyAlignment="1">
      <alignment horizontal="center" vertical="center"/>
    </xf>
    <xf numFmtId="0" fontId="3" fillId="0" borderId="17" xfId="1" applyFont="1" applyBorder="1" applyAlignment="1">
      <alignment horizontal="center" vertical="center"/>
    </xf>
    <xf numFmtId="9" fontId="3" fillId="0" borderId="17" xfId="1" applyNumberFormat="1" applyFont="1" applyBorder="1" applyAlignment="1">
      <alignment horizontal="center" vertical="center"/>
    </xf>
    <xf numFmtId="9" fontId="3" fillId="0" borderId="0" xfId="1" applyNumberFormat="1" applyFont="1" applyAlignment="1">
      <alignment horizontal="center" vertical="center"/>
    </xf>
    <xf numFmtId="9" fontId="3" fillId="0" borderId="3" xfId="1" applyNumberFormat="1" applyFont="1" applyBorder="1" applyAlignment="1">
      <alignment horizontal="center" vertical="center"/>
    </xf>
    <xf numFmtId="9" fontId="3" fillId="0" borderId="0" xfId="1" applyNumberFormat="1" applyFont="1" applyAlignment="1">
      <alignment horizontal="center"/>
    </xf>
    <xf numFmtId="0" fontId="3" fillId="0" borderId="48" xfId="1" applyFont="1" applyBorder="1"/>
    <xf numFmtId="0" fontId="4" fillId="6" borderId="34" xfId="1" applyFont="1" applyFill="1" applyBorder="1" applyAlignment="1">
      <alignment horizontal="center" vertical="center"/>
    </xf>
    <xf numFmtId="0" fontId="6" fillId="5" borderId="35" xfId="1" applyFont="1" applyFill="1" applyBorder="1" applyAlignment="1">
      <alignment horizontal="left" vertical="center"/>
    </xf>
    <xf numFmtId="0" fontId="3" fillId="0" borderId="43" xfId="1" applyFont="1" applyBorder="1" applyAlignment="1">
      <alignment horizontal="center" vertical="center"/>
    </xf>
    <xf numFmtId="9" fontId="3" fillId="0" borderId="37" xfId="1" applyNumberFormat="1" applyFont="1" applyBorder="1" applyAlignment="1">
      <alignment horizontal="center" vertical="center"/>
    </xf>
    <xf numFmtId="9" fontId="3" fillId="0" borderId="40" xfId="1" applyNumberFormat="1" applyFont="1" applyBorder="1" applyAlignment="1">
      <alignment horizontal="center" vertical="center"/>
    </xf>
    <xf numFmtId="0" fontId="3" fillId="0" borderId="42" xfId="1" applyFont="1" applyBorder="1" applyAlignment="1">
      <alignment vertical="center"/>
    </xf>
    <xf numFmtId="0" fontId="3" fillId="0" borderId="37" xfId="1" applyFont="1" applyBorder="1" applyAlignment="1">
      <alignment horizontal="center" vertical="center"/>
    </xf>
    <xf numFmtId="0" fontId="3" fillId="0" borderId="35" xfId="1" applyFont="1" applyBorder="1" applyAlignment="1">
      <alignment vertical="center"/>
    </xf>
    <xf numFmtId="0" fontId="3" fillId="0" borderId="43" xfId="1" applyFont="1" applyBorder="1" applyAlignment="1">
      <alignment vertical="center"/>
    </xf>
    <xf numFmtId="9" fontId="3" fillId="0" borderId="45" xfId="1" applyNumberFormat="1" applyFont="1" applyBorder="1" applyAlignment="1">
      <alignment horizontal="center" vertical="center"/>
    </xf>
    <xf numFmtId="9" fontId="3" fillId="0" borderId="53" xfId="1" applyNumberFormat="1" applyFont="1" applyBorder="1" applyAlignment="1">
      <alignment horizontal="center"/>
    </xf>
    <xf numFmtId="0" fontId="3" fillId="0" borderId="37" xfId="1" applyFont="1" applyBorder="1" applyAlignment="1">
      <alignment vertical="center"/>
    </xf>
    <xf numFmtId="0" fontId="3" fillId="0" borderId="40" xfId="1" applyFont="1" applyBorder="1" applyAlignment="1">
      <alignment horizontal="center" vertical="center"/>
    </xf>
    <xf numFmtId="0" fontId="3" fillId="0" borderId="45" xfId="1" applyFont="1" applyBorder="1" applyAlignment="1">
      <alignment horizontal="center" vertical="center"/>
    </xf>
    <xf numFmtId="0" fontId="3" fillId="0" borderId="35" xfId="1" applyFont="1" applyBorder="1" applyAlignment="1">
      <alignment horizontal="center" vertical="center"/>
    </xf>
    <xf numFmtId="0" fontId="3" fillId="0" borderId="37" xfId="1" applyFont="1" applyBorder="1"/>
    <xf numFmtId="0" fontId="3" fillId="0" borderId="49" xfId="1" applyFont="1" applyBorder="1" applyAlignment="1">
      <alignment vertical="center"/>
    </xf>
    <xf numFmtId="0" fontId="3" fillId="0" borderId="48" xfId="0" applyFont="1" applyBorder="1"/>
    <xf numFmtId="0" fontId="3" fillId="0" borderId="50" xfId="1" applyFont="1" applyBorder="1"/>
    <xf numFmtId="0" fontId="3" fillId="6" borderId="34" xfId="1" applyFont="1" applyFill="1" applyBorder="1" applyAlignment="1">
      <alignment horizontal="center" vertical="center"/>
    </xf>
    <xf numFmtId="0" fontId="3" fillId="0" borderId="36" xfId="1" applyFont="1" applyBorder="1" applyAlignment="1">
      <alignment vertical="center"/>
    </xf>
    <xf numFmtId="0" fontId="3" fillId="0" borderId="38" xfId="1" applyFont="1" applyBorder="1" applyAlignment="1">
      <alignment vertical="center"/>
    </xf>
    <xf numFmtId="0" fontId="3" fillId="0" borderId="39" xfId="1" applyFont="1" applyBorder="1" applyAlignment="1">
      <alignment vertical="center"/>
    </xf>
    <xf numFmtId="0" fontId="3" fillId="0" borderId="40" xfId="1" applyFont="1" applyBorder="1" applyAlignment="1">
      <alignment vertical="center"/>
    </xf>
    <xf numFmtId="0" fontId="3" fillId="0" borderId="41" xfId="1" applyFont="1" applyBorder="1" applyAlignment="1">
      <alignment vertical="center"/>
    </xf>
    <xf numFmtId="0" fontId="3" fillId="0" borderId="34" xfId="1" applyFont="1" applyBorder="1" applyAlignment="1">
      <alignment vertical="center"/>
    </xf>
    <xf numFmtId="0" fontId="3" fillId="0" borderId="44" xfId="1" applyFont="1" applyBorder="1" applyAlignment="1">
      <alignment vertical="center"/>
    </xf>
    <xf numFmtId="0" fontId="3" fillId="0" borderId="19" xfId="1" applyFont="1" applyBorder="1" applyAlignment="1">
      <alignment vertical="center"/>
    </xf>
    <xf numFmtId="0" fontId="3" fillId="0" borderId="45" xfId="1" applyFont="1" applyBorder="1" applyAlignment="1">
      <alignment vertical="center"/>
    </xf>
    <xf numFmtId="0" fontId="3" fillId="0" borderId="26" xfId="1" applyFont="1" applyBorder="1" applyAlignment="1">
      <alignment vertical="center"/>
    </xf>
    <xf numFmtId="0" fontId="3" fillId="0" borderId="27" xfId="1" applyFont="1" applyBorder="1" applyAlignment="1">
      <alignment vertical="center"/>
    </xf>
    <xf numFmtId="0" fontId="3" fillId="0" borderId="46" xfId="2" applyBorder="1" applyAlignment="1">
      <alignment horizontal="left" vertical="center"/>
    </xf>
    <xf numFmtId="0" fontId="3" fillId="0" borderId="29" xfId="1" applyFont="1" applyBorder="1" applyAlignment="1">
      <alignment vertical="center"/>
    </xf>
    <xf numFmtId="0" fontId="3" fillId="0" borderId="30" xfId="1" applyFont="1" applyBorder="1" applyAlignment="1">
      <alignment vertical="center"/>
    </xf>
    <xf numFmtId="0" fontId="3" fillId="0" borderId="38" xfId="1" applyFont="1" applyBorder="1"/>
    <xf numFmtId="0" fontId="3" fillId="0" borderId="47" xfId="1" applyFont="1" applyBorder="1"/>
    <xf numFmtId="0" fontId="3" fillId="0" borderId="53" xfId="1" applyFont="1" applyBorder="1"/>
    <xf numFmtId="0" fontId="4" fillId="0" borderId="48" xfId="1" applyFont="1" applyBorder="1" applyAlignment="1">
      <alignment horizontal="left" vertical="center" wrapText="1"/>
    </xf>
    <xf numFmtId="164" fontId="16" fillId="0" borderId="1" xfId="1" applyNumberFormat="1" applyFont="1" applyBorder="1" applyAlignment="1">
      <alignment horizontal="center" vertical="center"/>
    </xf>
    <xf numFmtId="164" fontId="16" fillId="0" borderId="1" xfId="1" applyNumberFormat="1" applyFont="1" applyBorder="1" applyAlignment="1">
      <alignment vertical="center"/>
    </xf>
    <xf numFmtId="164" fontId="17" fillId="0" borderId="36" xfId="1" quotePrefix="1" applyNumberFormat="1" applyFont="1" applyBorder="1" applyAlignment="1">
      <alignment horizontal="center" vertical="center"/>
    </xf>
    <xf numFmtId="164" fontId="17" fillId="0" borderId="1" xfId="1" applyNumberFormat="1" applyFont="1" applyBorder="1" applyAlignment="1">
      <alignment horizontal="center" vertical="center" wrapText="1"/>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2" fillId="0" borderId="0" xfId="1" applyAlignment="1">
      <alignment wrapText="1"/>
    </xf>
    <xf numFmtId="0" fontId="4" fillId="0" borderId="1" xfId="1" applyFont="1" applyBorder="1" applyAlignment="1">
      <alignment vertical="center" wrapText="1"/>
    </xf>
    <xf numFmtId="0" fontId="4" fillId="0" borderId="0" xfId="1" applyFont="1" applyAlignment="1">
      <alignment vertical="center" wrapText="1"/>
    </xf>
    <xf numFmtId="0" fontId="4" fillId="0" borderId="3" xfId="1" applyFont="1" applyBorder="1" applyAlignment="1">
      <alignment vertical="center" wrapText="1"/>
    </xf>
    <xf numFmtId="0" fontId="4" fillId="0" borderId="4" xfId="1" applyFont="1" applyBorder="1" applyAlignment="1">
      <alignment vertical="center" wrapText="1"/>
    </xf>
    <xf numFmtId="0" fontId="4" fillId="0" borderId="2" xfId="1" applyFont="1" applyBorder="1" applyAlignment="1">
      <alignment vertical="center" wrapText="1"/>
    </xf>
    <xf numFmtId="0" fontId="4" fillId="0" borderId="17" xfId="1" applyFont="1" applyBorder="1" applyAlignment="1">
      <alignmen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4" fillId="0" borderId="17" xfId="1" applyFont="1" applyBorder="1" applyAlignment="1">
      <alignment horizontal="left" vertical="center" wrapText="1"/>
    </xf>
    <xf numFmtId="0" fontId="4" fillId="0" borderId="48" xfId="1" applyFont="1" applyBorder="1" applyAlignment="1">
      <alignment vertical="center" wrapText="1"/>
    </xf>
    <xf numFmtId="0" fontId="15" fillId="0" borderId="0" xfId="1" applyFont="1" applyAlignment="1">
      <alignment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2" xfId="1" applyFont="1" applyBorder="1" applyAlignment="1">
      <alignment vertical="center" wrapText="1"/>
    </xf>
    <xf numFmtId="0" fontId="3" fillId="0" borderId="17" xfId="1" applyFont="1" applyBorder="1" applyAlignment="1">
      <alignment vertical="center" wrapText="1"/>
    </xf>
    <xf numFmtId="0" fontId="3" fillId="0" borderId="48" xfId="1" applyFont="1" applyBorder="1" applyAlignment="1">
      <alignment vertical="center" wrapText="1"/>
    </xf>
    <xf numFmtId="0" fontId="4" fillId="0" borderId="16" xfId="1" applyFont="1" applyBorder="1" applyAlignment="1">
      <alignment vertical="center" wrapText="1"/>
    </xf>
    <xf numFmtId="0" fontId="21" fillId="0" borderId="61" xfId="0" applyFont="1" applyBorder="1" applyAlignment="1">
      <alignment vertical="center"/>
    </xf>
    <xf numFmtId="0" fontId="22" fillId="0" borderId="61" xfId="0" applyFont="1" applyBorder="1" applyAlignment="1">
      <alignment vertical="center"/>
    </xf>
    <xf numFmtId="0" fontId="22" fillId="0" borderId="62" xfId="0" applyFont="1" applyBorder="1" applyAlignment="1">
      <alignment vertical="center"/>
    </xf>
    <xf numFmtId="0" fontId="22" fillId="0" borderId="63" xfId="0" applyFont="1" applyBorder="1" applyAlignment="1">
      <alignment horizontal="left" vertical="center"/>
    </xf>
    <xf numFmtId="0" fontId="22" fillId="0" borderId="64" xfId="0" applyFont="1" applyBorder="1" applyAlignment="1">
      <alignment horizontal="left" vertical="center"/>
    </xf>
    <xf numFmtId="0" fontId="22" fillId="0" borderId="62" xfId="0" applyFont="1" applyBorder="1" applyAlignment="1">
      <alignment horizontal="left" vertical="center"/>
    </xf>
    <xf numFmtId="0" fontId="22" fillId="0" borderId="65" xfId="0" applyFont="1" applyBorder="1" applyAlignment="1">
      <alignment horizontal="left" vertical="center"/>
    </xf>
    <xf numFmtId="0" fontId="22" fillId="0" borderId="28" xfId="0" applyFont="1" applyBorder="1" applyAlignment="1">
      <alignment horizontal="left" vertical="center"/>
    </xf>
    <xf numFmtId="0" fontId="21" fillId="0" borderId="0" xfId="0" applyFont="1" applyAlignment="1">
      <alignment vertical="center"/>
    </xf>
    <xf numFmtId="0" fontId="22" fillId="0" borderId="0" xfId="0" applyFont="1" applyAlignment="1">
      <alignment vertical="center"/>
    </xf>
    <xf numFmtId="9" fontId="22" fillId="0" borderId="0" xfId="0" applyNumberFormat="1" applyFont="1" applyAlignment="1">
      <alignment vertical="center"/>
    </xf>
    <xf numFmtId="0" fontId="3" fillId="0" borderId="0" xfId="2"/>
    <xf numFmtId="0" fontId="4" fillId="0" borderId="0" xfId="2" applyFont="1"/>
    <xf numFmtId="0" fontId="3" fillId="0" borderId="0" xfId="0" applyFont="1" applyAlignment="1">
      <alignment horizontal="center"/>
    </xf>
    <xf numFmtId="0" fontId="3" fillId="0" borderId="70" xfId="0" applyFont="1" applyBorder="1"/>
    <xf numFmtId="0" fontId="3" fillId="0" borderId="72" xfId="0" applyFont="1" applyBorder="1"/>
    <xf numFmtId="0" fontId="4" fillId="4" borderId="0" xfId="0" applyFont="1" applyFill="1" applyAlignment="1">
      <alignment vertical="center"/>
    </xf>
    <xf numFmtId="0" fontId="4" fillId="4" borderId="67" xfId="0" applyFont="1" applyFill="1" applyBorder="1" applyAlignment="1">
      <alignment vertical="center"/>
    </xf>
    <xf numFmtId="0" fontId="3" fillId="0" borderId="70" xfId="0" applyFont="1" applyBorder="1" applyAlignment="1">
      <alignment vertical="center"/>
    </xf>
    <xf numFmtId="0" fontId="3" fillId="0" borderId="0" xfId="0" applyFont="1" applyAlignment="1">
      <alignment vertical="center"/>
    </xf>
    <xf numFmtId="0" fontId="3" fillId="0" borderId="72" xfId="0" applyFont="1" applyBorder="1" applyAlignment="1">
      <alignment vertical="center"/>
    </xf>
    <xf numFmtId="0" fontId="3" fillId="0" borderId="73" xfId="0" applyFont="1" applyBorder="1" applyAlignment="1">
      <alignment vertical="center"/>
    </xf>
    <xf numFmtId="0" fontId="4" fillId="3" borderId="0" xfId="0" applyFont="1" applyFill="1" applyAlignment="1">
      <alignment horizontal="center" vertical="center"/>
    </xf>
    <xf numFmtId="0" fontId="4" fillId="3" borderId="71" xfId="0" applyFont="1" applyFill="1" applyBorder="1" applyAlignment="1">
      <alignment horizontal="center" vertical="center"/>
    </xf>
    <xf numFmtId="0" fontId="3" fillId="0" borderId="0" xfId="0" applyFont="1" applyAlignment="1">
      <alignment horizontal="center" vertical="center"/>
    </xf>
    <xf numFmtId="0" fontId="3" fillId="0" borderId="71" xfId="0" applyFont="1" applyBorder="1" applyAlignment="1">
      <alignment horizontal="center" vertical="center"/>
    </xf>
    <xf numFmtId="9" fontId="3" fillId="0" borderId="0" xfId="0" applyNumberFormat="1" applyFont="1" applyAlignment="1">
      <alignment horizontal="center" vertical="center"/>
    </xf>
    <xf numFmtId="9" fontId="3" fillId="0" borderId="71" xfId="0" applyNumberFormat="1" applyFont="1" applyBorder="1" applyAlignment="1">
      <alignment horizontal="center" vertical="center"/>
    </xf>
    <xf numFmtId="9" fontId="3" fillId="0" borderId="73" xfId="0" applyNumberFormat="1" applyFont="1" applyBorder="1" applyAlignment="1">
      <alignment horizontal="center" vertical="center"/>
    </xf>
    <xf numFmtId="0" fontId="3" fillId="0" borderId="73" xfId="0" applyFont="1" applyBorder="1" applyAlignment="1">
      <alignment horizontal="center" vertical="center"/>
    </xf>
    <xf numFmtId="9" fontId="3" fillId="0" borderId="74" xfId="0" applyNumberFormat="1" applyFont="1" applyBorder="1" applyAlignment="1">
      <alignment horizontal="center" vertical="center"/>
    </xf>
    <xf numFmtId="0" fontId="3" fillId="3" borderId="0" xfId="2" applyFill="1" applyAlignment="1">
      <alignment horizontal="left" vertical="center"/>
    </xf>
    <xf numFmtId="0" fontId="24" fillId="16" borderId="70" xfId="0" applyFont="1" applyFill="1" applyBorder="1" applyAlignment="1">
      <alignment horizontal="center" vertical="center"/>
    </xf>
    <xf numFmtId="0" fontId="26" fillId="2" borderId="0" xfId="2" applyFont="1" applyFill="1" applyAlignment="1">
      <alignment horizontal="left" vertical="center"/>
    </xf>
    <xf numFmtId="0" fontId="24" fillId="16" borderId="0" xfId="0" applyFont="1" applyFill="1" applyAlignment="1">
      <alignment horizontal="center" vertical="center"/>
    </xf>
    <xf numFmtId="0" fontId="28" fillId="19" borderId="0" xfId="0" applyFont="1" applyFill="1" applyAlignment="1">
      <alignment horizontal="center" vertical="center"/>
    </xf>
    <xf numFmtId="0" fontId="30" fillId="2" borderId="0" xfId="2" applyFont="1" applyFill="1" applyAlignment="1">
      <alignment horizontal="left" vertical="center"/>
    </xf>
    <xf numFmtId="0" fontId="3" fillId="17" borderId="0" xfId="0" applyFont="1" applyFill="1" applyAlignment="1">
      <alignment horizontal="center"/>
      <extLst>
        <ext xmlns:xfpb="http://schemas.microsoft.com/office/spreadsheetml/2022/featurepropertybag" uri="{C7286773-470A-42A8-94C5-96B5CB345126}">
          <xfpb:xfComplement i="0"/>
        </ext>
      </extLst>
    </xf>
    <xf numFmtId="9" fontId="29" fillId="17" borderId="0" xfId="0" applyNumberFormat="1" applyFont="1" applyFill="1" applyAlignment="1">
      <alignment horizontal="center"/>
    </xf>
    <xf numFmtId="0" fontId="29" fillId="17" borderId="0" xfId="0" applyFont="1" applyFill="1" applyAlignment="1">
      <alignment horizontal="center"/>
    </xf>
    <xf numFmtId="0" fontId="27" fillId="18" borderId="78" xfId="2" applyFont="1" applyFill="1" applyBorder="1" applyAlignment="1">
      <alignment horizontal="left" vertical="center"/>
    </xf>
    <xf numFmtId="9" fontId="3" fillId="17" borderId="78" xfId="0" applyNumberFormat="1" applyFont="1" applyFill="1" applyBorder="1" applyAlignment="1">
      <alignment horizontal="center"/>
    </xf>
    <xf numFmtId="0" fontId="3" fillId="17" borderId="78" xfId="0" applyFont="1" applyFill="1" applyBorder="1" applyAlignment="1">
      <alignment horizontal="center"/>
    </xf>
    <xf numFmtId="9" fontId="29" fillId="17" borderId="0" xfId="3" applyFont="1" applyFill="1" applyBorder="1" applyAlignment="1">
      <alignment horizontal="center"/>
    </xf>
    <xf numFmtId="164" fontId="3" fillId="17" borderId="78" xfId="3" applyNumberFormat="1" applyFont="1" applyFill="1" applyBorder="1" applyAlignment="1">
      <alignment horizontal="center"/>
    </xf>
    <xf numFmtId="164" fontId="3" fillId="17" borderId="78" xfId="0" applyNumberFormat="1" applyFont="1" applyFill="1" applyBorder="1" applyAlignment="1">
      <alignment horizontal="center"/>
    </xf>
    <xf numFmtId="165" fontId="31" fillId="17" borderId="0" xfId="0" applyNumberFormat="1" applyFont="1" applyFill="1" applyAlignment="1">
      <alignment horizontal="center"/>
    </xf>
    <xf numFmtId="165" fontId="31" fillId="17" borderId="0" xfId="3" applyNumberFormat="1" applyFont="1" applyFill="1" applyBorder="1" applyAlignment="1">
      <alignment horizontal="center"/>
    </xf>
    <xf numFmtId="0" fontId="24" fillId="20" borderId="70" xfId="0" applyFont="1" applyFill="1" applyBorder="1" applyAlignment="1">
      <alignment horizontal="center" vertical="center"/>
    </xf>
    <xf numFmtId="166" fontId="32" fillId="14" borderId="0" xfId="0" applyNumberFormat="1" applyFont="1" applyFill="1" applyAlignment="1">
      <alignment horizontal="center" vertical="center"/>
    </xf>
    <xf numFmtId="167" fontId="29" fillId="17" borderId="0" xfId="0" applyNumberFormat="1" applyFont="1" applyFill="1" applyAlignment="1">
      <alignment horizontal="center"/>
    </xf>
    <xf numFmtId="9" fontId="3" fillId="17" borderId="78" xfId="3" applyFont="1" applyFill="1" applyBorder="1" applyAlignment="1">
      <alignment horizontal="center"/>
    </xf>
    <xf numFmtId="169" fontId="32" fillId="21" borderId="0" xfId="0" applyNumberFormat="1" applyFont="1" applyFill="1" applyAlignment="1">
      <alignment horizontal="center" vertical="center"/>
    </xf>
    <xf numFmtId="9" fontId="32" fillId="21" borderId="0" xfId="0" applyNumberFormat="1" applyFont="1" applyFill="1" applyAlignment="1">
      <alignment horizontal="center" vertical="center"/>
    </xf>
    <xf numFmtId="170" fontId="32" fillId="21" borderId="0" xfId="0" applyNumberFormat="1" applyFont="1" applyFill="1" applyAlignment="1">
      <alignment horizontal="center" vertical="center"/>
    </xf>
    <xf numFmtId="168" fontId="32" fillId="21" borderId="0" xfId="0" applyNumberFormat="1" applyFont="1" applyFill="1" applyAlignment="1">
      <alignment horizontal="center" vertical="center"/>
    </xf>
    <xf numFmtId="0" fontId="25" fillId="15" borderId="68" xfId="0" applyFont="1" applyFill="1" applyBorder="1" applyAlignment="1">
      <alignment vertical="center"/>
    </xf>
    <xf numFmtId="0" fontId="25" fillId="16" borderId="68" xfId="0" applyFont="1" applyFill="1" applyBorder="1" applyAlignment="1">
      <alignment vertical="center"/>
    </xf>
    <xf numFmtId="0" fontId="3" fillId="0" borderId="0" xfId="2" applyAlignment="1">
      <alignment horizontal="left" vertical="center"/>
    </xf>
    <xf numFmtId="167" fontId="29" fillId="22" borderId="0" xfId="0" applyNumberFormat="1" applyFont="1" applyFill="1" applyAlignment="1">
      <alignment horizontal="center"/>
    </xf>
    <xf numFmtId="165" fontId="31" fillId="22" borderId="0" xfId="0" applyNumberFormat="1" applyFont="1" applyFill="1" applyAlignment="1">
      <alignment horizontal="center"/>
    </xf>
    <xf numFmtId="0" fontId="0" fillId="22" borderId="0" xfId="0" applyFill="1" applyAlignment="1">
      <alignment vertical="center" wrapText="1"/>
    </xf>
    <xf numFmtId="0" fontId="10" fillId="23" borderId="0" xfId="0" applyFont="1" applyFill="1" applyAlignment="1">
      <alignment vertical="center" wrapText="1"/>
    </xf>
    <xf numFmtId="166" fontId="3" fillId="17" borderId="78" xfId="0" applyNumberFormat="1" applyFont="1" applyFill="1" applyBorder="1" applyAlignment="1">
      <alignment horizontal="center"/>
    </xf>
    <xf numFmtId="9" fontId="32" fillId="21" borderId="0" xfId="3" applyFont="1" applyFill="1" applyAlignment="1">
      <alignment horizontal="center" vertical="center"/>
    </xf>
    <xf numFmtId="164" fontId="32" fillId="21" borderId="0" xfId="3" applyNumberFormat="1" applyFont="1" applyFill="1" applyAlignment="1">
      <alignment horizontal="center" vertical="center"/>
    </xf>
    <xf numFmtId="171" fontId="32" fillId="21" borderId="0" xfId="0" applyNumberFormat="1" applyFont="1" applyFill="1" applyAlignment="1">
      <alignment horizontal="center" vertical="center"/>
    </xf>
    <xf numFmtId="0" fontId="0" fillId="0" borderId="0" xfId="0" applyAlignment="1">
      <alignment wrapText="1"/>
    </xf>
    <xf numFmtId="0" fontId="3" fillId="22" borderId="70" xfId="0" applyFont="1" applyFill="1" applyBorder="1" applyAlignment="1">
      <alignment vertical="center"/>
    </xf>
    <xf numFmtId="0" fontId="22" fillId="0" borderId="0" xfId="0" applyFont="1" applyAlignment="1">
      <alignment horizontal="left" vertical="center" readingOrder="1"/>
    </xf>
    <xf numFmtId="0" fontId="22" fillId="0" borderId="79" xfId="0" applyFont="1" applyBorder="1" applyAlignment="1">
      <alignment horizontal="left" vertical="center" readingOrder="1"/>
    </xf>
    <xf numFmtId="0" fontId="3" fillId="0" borderId="79" xfId="0" applyFont="1" applyBorder="1"/>
    <xf numFmtId="0" fontId="3" fillId="24" borderId="79" xfId="0" applyFont="1" applyFill="1" applyBorder="1"/>
    <xf numFmtId="0" fontId="35" fillId="24" borderId="79" xfId="0" applyFont="1" applyFill="1" applyBorder="1"/>
    <xf numFmtId="0" fontId="35" fillId="25" borderId="79" xfId="0" applyFont="1" applyFill="1" applyBorder="1"/>
    <xf numFmtId="0" fontId="3" fillId="18" borderId="79" xfId="0" applyFont="1" applyFill="1" applyBorder="1"/>
    <xf numFmtId="0" fontId="22" fillId="26" borderId="79" xfId="0" applyFont="1" applyFill="1" applyBorder="1" applyAlignment="1">
      <alignment horizontal="left" vertical="center" readingOrder="1"/>
    </xf>
    <xf numFmtId="0" fontId="22" fillId="22" borderId="79" xfId="0" applyFont="1" applyFill="1" applyBorder="1" applyAlignment="1">
      <alignment horizontal="left" vertical="center" readingOrder="1"/>
    </xf>
    <xf numFmtId="0" fontId="22" fillId="0" borderId="81" xfId="0" applyFont="1" applyBorder="1" applyAlignment="1">
      <alignment horizontal="left" vertical="center" readingOrder="1"/>
    </xf>
    <xf numFmtId="0" fontId="3" fillId="18" borderId="82" xfId="0" applyFont="1" applyFill="1" applyBorder="1"/>
    <xf numFmtId="0" fontId="36" fillId="28" borderId="79" xfId="0" applyFont="1" applyFill="1" applyBorder="1"/>
    <xf numFmtId="0" fontId="37" fillId="24" borderId="79" xfId="0" applyFont="1" applyFill="1" applyBorder="1"/>
    <xf numFmtId="0" fontId="4" fillId="24" borderId="79" xfId="0" applyFont="1" applyFill="1" applyBorder="1"/>
    <xf numFmtId="0" fontId="4" fillId="24" borderId="83" xfId="0" applyFont="1" applyFill="1" applyBorder="1"/>
    <xf numFmtId="0" fontId="37" fillId="25" borderId="83" xfId="0" applyFont="1" applyFill="1" applyBorder="1"/>
    <xf numFmtId="0" fontId="37" fillId="25" borderId="79" xfId="0" applyFont="1" applyFill="1" applyBorder="1"/>
    <xf numFmtId="0" fontId="37" fillId="29" borderId="79" xfId="0" applyFont="1" applyFill="1" applyBorder="1"/>
    <xf numFmtId="0" fontId="3" fillId="30" borderId="79" xfId="0" applyFont="1" applyFill="1" applyBorder="1"/>
    <xf numFmtId="0" fontId="3" fillId="31" borderId="79" xfId="0" applyFont="1" applyFill="1" applyBorder="1"/>
    <xf numFmtId="0" fontId="3" fillId="32" borderId="79" xfId="0" applyFont="1" applyFill="1" applyBorder="1"/>
    <xf numFmtId="0" fontId="3" fillId="3" borderId="79" xfId="0" applyFont="1" applyFill="1" applyBorder="1"/>
    <xf numFmtId="0" fontId="38" fillId="3" borderId="79" xfId="0" applyFont="1" applyFill="1" applyBorder="1"/>
    <xf numFmtId="0" fontId="35" fillId="25" borderId="0" xfId="0" applyFont="1" applyFill="1"/>
    <xf numFmtId="166" fontId="32" fillId="14" borderId="85" xfId="0" applyNumberFormat="1" applyFont="1" applyFill="1" applyBorder="1" applyAlignment="1">
      <alignment horizontal="center" vertical="center"/>
    </xf>
    <xf numFmtId="166" fontId="32" fillId="14" borderId="86" xfId="0" applyNumberFormat="1" applyFont="1" applyFill="1" applyBorder="1" applyAlignment="1">
      <alignment horizontal="center" vertical="center"/>
    </xf>
    <xf numFmtId="169" fontId="32" fillId="21" borderId="85" xfId="0" applyNumberFormat="1" applyFont="1" applyFill="1" applyBorder="1" applyAlignment="1">
      <alignment horizontal="center" vertical="center"/>
    </xf>
    <xf numFmtId="168" fontId="32" fillId="21" borderId="85" xfId="0" applyNumberFormat="1" applyFont="1" applyFill="1" applyBorder="1" applyAlignment="1">
      <alignment horizontal="center" vertical="center"/>
    </xf>
    <xf numFmtId="0" fontId="3" fillId="17" borderId="85" xfId="0" applyFont="1" applyFill="1" applyBorder="1" applyAlignment="1">
      <alignment horizontal="center"/>
      <extLst>
        <ext xmlns:xfpb="http://schemas.microsoft.com/office/spreadsheetml/2022/featurepropertybag" uri="{C7286773-470A-42A8-94C5-96B5CB345126}">
          <xfpb:xfComplement i="0"/>
        </ext>
      </extLst>
    </xf>
    <xf numFmtId="0" fontId="3" fillId="17" borderId="86" xfId="0" applyFont="1" applyFill="1" applyBorder="1" applyAlignment="1">
      <alignment horizontal="center"/>
      <extLst>
        <ext xmlns:xfpb="http://schemas.microsoft.com/office/spreadsheetml/2022/featurepropertybag" uri="{C7286773-470A-42A8-94C5-96B5CB345126}">
          <xfpb:xfComplement i="0"/>
        </ext>
      </extLst>
    </xf>
    <xf numFmtId="167" fontId="29" fillId="17" borderId="85" xfId="0" applyNumberFormat="1" applyFont="1" applyFill="1" applyBorder="1" applyAlignment="1">
      <alignment horizontal="center"/>
    </xf>
    <xf numFmtId="0" fontId="29" fillId="17" borderId="86" xfId="0" applyFont="1" applyFill="1" applyBorder="1" applyAlignment="1">
      <alignment horizontal="center"/>
    </xf>
    <xf numFmtId="165" fontId="31" fillId="17" borderId="85" xfId="0" applyNumberFormat="1" applyFont="1" applyFill="1" applyBorder="1" applyAlignment="1">
      <alignment horizontal="center"/>
    </xf>
    <xf numFmtId="165" fontId="31" fillId="17" borderId="86" xfId="0" applyNumberFormat="1" applyFont="1" applyFill="1" applyBorder="1" applyAlignment="1">
      <alignment horizontal="center"/>
    </xf>
    <xf numFmtId="166" fontId="3" fillId="17" borderId="87" xfId="0" applyNumberFormat="1" applyFont="1" applyFill="1" applyBorder="1" applyAlignment="1">
      <alignment horizontal="center"/>
    </xf>
    <xf numFmtId="0" fontId="3" fillId="17" borderId="88" xfId="0" applyFont="1" applyFill="1" applyBorder="1" applyAlignment="1">
      <alignment horizontal="center"/>
    </xf>
    <xf numFmtId="167" fontId="29" fillId="17" borderId="86" xfId="0" applyNumberFormat="1" applyFont="1" applyFill="1" applyBorder="1" applyAlignment="1">
      <alignment horizontal="center"/>
    </xf>
    <xf numFmtId="9" fontId="3" fillId="17" borderId="88" xfId="0" applyNumberFormat="1" applyFont="1" applyFill="1" applyBorder="1" applyAlignment="1">
      <alignment horizontal="center"/>
    </xf>
    <xf numFmtId="9" fontId="29" fillId="17" borderId="85" xfId="0" applyNumberFormat="1" applyFont="1" applyFill="1" applyBorder="1" applyAlignment="1">
      <alignment horizontal="center"/>
    </xf>
    <xf numFmtId="9" fontId="3" fillId="17" borderId="87" xfId="0" applyNumberFormat="1" applyFont="1" applyFill="1" applyBorder="1" applyAlignment="1">
      <alignment horizontal="center"/>
    </xf>
    <xf numFmtId="166" fontId="3" fillId="17" borderId="88" xfId="0" applyNumberFormat="1" applyFont="1" applyFill="1" applyBorder="1" applyAlignment="1">
      <alignment horizontal="center"/>
    </xf>
    <xf numFmtId="9" fontId="3" fillId="17" borderId="89" xfId="0" applyNumberFormat="1" applyFont="1" applyFill="1" applyBorder="1" applyAlignment="1">
      <alignment horizontal="center"/>
    </xf>
    <xf numFmtId="164" fontId="3" fillId="17" borderId="90" xfId="3" applyNumberFormat="1" applyFont="1" applyFill="1" applyBorder="1" applyAlignment="1">
      <alignment horizontal="center"/>
    </xf>
    <xf numFmtId="166" fontId="3" fillId="17" borderId="91" xfId="0" applyNumberFormat="1" applyFont="1" applyFill="1" applyBorder="1" applyAlignment="1">
      <alignment horizontal="center"/>
    </xf>
    <xf numFmtId="0" fontId="4" fillId="11" borderId="0" xfId="0" applyFont="1" applyFill="1" applyAlignment="1">
      <alignment vertical="center"/>
    </xf>
    <xf numFmtId="0" fontId="0" fillId="0" borderId="0" xfId="0" applyAlignment="1">
      <alignment horizontal="left" wrapText="1"/>
    </xf>
    <xf numFmtId="0" fontId="4" fillId="11" borderId="67" xfId="0" applyFont="1" applyFill="1" applyBorder="1" applyAlignment="1">
      <alignment vertical="center" wrapText="1"/>
    </xf>
    <xf numFmtId="9" fontId="32" fillId="21" borderId="86" xfId="0" applyNumberFormat="1" applyFont="1" applyFill="1" applyBorder="1" applyAlignment="1">
      <alignment horizontal="center" vertical="center"/>
    </xf>
    <xf numFmtId="0" fontId="29" fillId="17" borderId="85" xfId="0" applyFont="1" applyFill="1" applyBorder="1" applyAlignment="1">
      <alignment horizontal="center"/>
    </xf>
    <xf numFmtId="0" fontId="3" fillId="17" borderId="87" xfId="0" applyFont="1" applyFill="1" applyBorder="1" applyAlignment="1">
      <alignment horizontal="center"/>
    </xf>
    <xf numFmtId="9" fontId="3" fillId="17" borderId="88" xfId="3" applyFont="1" applyFill="1" applyBorder="1" applyAlignment="1">
      <alignment horizontal="center"/>
    </xf>
    <xf numFmtId="0" fontId="3" fillId="17" borderId="89" xfId="0" applyFont="1" applyFill="1" applyBorder="1" applyAlignment="1">
      <alignment horizontal="center"/>
    </xf>
    <xf numFmtId="0" fontId="36" fillId="27" borderId="79" xfId="0" applyFont="1" applyFill="1" applyBorder="1" applyAlignment="1">
      <alignment horizontal="center" vertical="center"/>
    </xf>
    <xf numFmtId="0" fontId="24" fillId="33" borderId="79" xfId="0" applyFont="1" applyFill="1" applyBorder="1" applyAlignment="1">
      <alignment horizontal="center" vertical="center"/>
    </xf>
    <xf numFmtId="0" fontId="3" fillId="3" borderId="99" xfId="2" applyFill="1" applyBorder="1" applyAlignment="1">
      <alignment horizontal="left" vertical="center"/>
    </xf>
    <xf numFmtId="0" fontId="3" fillId="17" borderId="84" xfId="0" applyFont="1" applyFill="1" applyBorder="1" applyAlignment="1">
      <alignment horizontal="center"/>
      <extLst>
        <ext xmlns:xfpb="http://schemas.microsoft.com/office/spreadsheetml/2022/featurepropertybag" uri="{C7286773-470A-42A8-94C5-96B5CB345126}">
          <xfpb:xfComplement i="0"/>
        </ext>
      </extLst>
    </xf>
    <xf numFmtId="0" fontId="3" fillId="17" borderId="99" xfId="0" applyFont="1" applyFill="1" applyBorder="1" applyAlignment="1">
      <alignment horizontal="center"/>
      <extLst>
        <ext xmlns:xfpb="http://schemas.microsoft.com/office/spreadsheetml/2022/featurepropertybag" uri="{C7286773-470A-42A8-94C5-96B5CB345126}">
          <xfpb:xfComplement i="0"/>
        </ext>
      </extLst>
    </xf>
    <xf numFmtId="0" fontId="3" fillId="17" borderId="97" xfId="0" applyFont="1" applyFill="1" applyBorder="1" applyAlignment="1">
      <alignment horizontal="center"/>
      <extLst>
        <ext xmlns:xfpb="http://schemas.microsoft.com/office/spreadsheetml/2022/featurepropertybag" uri="{C7286773-470A-42A8-94C5-96B5CB345126}">
          <xfpb:xfComplement i="0"/>
        </ext>
      </extLst>
    </xf>
    <xf numFmtId="0" fontId="27" fillId="18" borderId="90" xfId="2" applyFont="1" applyFill="1" applyBorder="1" applyAlignment="1">
      <alignment horizontal="left" vertical="center"/>
    </xf>
    <xf numFmtId="9" fontId="3" fillId="17" borderId="0" xfId="3" applyFont="1" applyFill="1" applyBorder="1" applyAlignment="1">
      <alignment horizontal="center"/>
    </xf>
    <xf numFmtId="0" fontId="3" fillId="17" borderId="100" xfId="0" applyFont="1" applyFill="1" applyBorder="1" applyAlignment="1">
      <alignment horizontal="center"/>
      <extLst>
        <ext xmlns:xfpb="http://schemas.microsoft.com/office/spreadsheetml/2022/featurepropertybag" uri="{C7286773-470A-42A8-94C5-96B5CB345126}">
          <xfpb:xfComplement i="0"/>
        </ext>
      </extLst>
    </xf>
    <xf numFmtId="0" fontId="3" fillId="17" borderId="101" xfId="0" applyFont="1" applyFill="1" applyBorder="1" applyAlignment="1">
      <alignment horizontal="center"/>
      <extLst>
        <ext xmlns:xfpb="http://schemas.microsoft.com/office/spreadsheetml/2022/featurepropertybag" uri="{C7286773-470A-42A8-94C5-96B5CB345126}">
          <xfpb:xfComplement i="0"/>
        </ext>
      </extLst>
    </xf>
    <xf numFmtId="167" fontId="29" fillId="17" borderId="102" xfId="0" applyNumberFormat="1" applyFont="1" applyFill="1" applyBorder="1" applyAlignment="1">
      <alignment horizontal="center"/>
    </xf>
    <xf numFmtId="167" fontId="29" fillId="17" borderId="103" xfId="0" applyNumberFormat="1" applyFont="1" applyFill="1" applyBorder="1" applyAlignment="1">
      <alignment horizontal="center"/>
    </xf>
    <xf numFmtId="165" fontId="31" fillId="17" borderId="102" xfId="0" applyNumberFormat="1" applyFont="1" applyFill="1" applyBorder="1" applyAlignment="1">
      <alignment horizontal="center"/>
    </xf>
    <xf numFmtId="165" fontId="31" fillId="17" borderId="103" xfId="0" applyNumberFormat="1" applyFont="1" applyFill="1" applyBorder="1" applyAlignment="1">
      <alignment horizontal="center"/>
    </xf>
    <xf numFmtId="9" fontId="3" fillId="17" borderId="104" xfId="0" applyNumberFormat="1" applyFont="1" applyFill="1" applyBorder="1" applyAlignment="1">
      <alignment horizontal="center"/>
    </xf>
    <xf numFmtId="9" fontId="3" fillId="17" borderId="105" xfId="0" applyNumberFormat="1" applyFont="1" applyFill="1" applyBorder="1" applyAlignment="1">
      <alignment horizontal="center"/>
    </xf>
    <xf numFmtId="0" fontId="3" fillId="17" borderId="102" xfId="0" applyFont="1" applyFill="1" applyBorder="1" applyAlignment="1">
      <alignment horizontal="center"/>
      <extLst>
        <ext xmlns:xfpb="http://schemas.microsoft.com/office/spreadsheetml/2022/featurepropertybag" uri="{C7286773-470A-42A8-94C5-96B5CB345126}">
          <xfpb:xfComplement i="0"/>
        </ext>
      </extLst>
    </xf>
    <xf numFmtId="0" fontId="3" fillId="17" borderId="103" xfId="0" applyFont="1" applyFill="1" applyBorder="1" applyAlignment="1">
      <alignment horizontal="center"/>
      <extLst>
        <ext xmlns:xfpb="http://schemas.microsoft.com/office/spreadsheetml/2022/featurepropertybag" uri="{C7286773-470A-42A8-94C5-96B5CB345126}">
          <xfpb:xfComplement i="0"/>
        </ext>
      </extLst>
    </xf>
    <xf numFmtId="0" fontId="29" fillId="17" borderId="103" xfId="0" applyFont="1" applyFill="1" applyBorder="1" applyAlignment="1">
      <alignment horizontal="center"/>
    </xf>
    <xf numFmtId="0" fontId="3" fillId="17" borderId="105" xfId="0" applyFont="1" applyFill="1" applyBorder="1" applyAlignment="1">
      <alignment horizontal="center"/>
    </xf>
    <xf numFmtId="166" fontId="3" fillId="17" borderId="105" xfId="0" applyNumberFormat="1" applyFont="1" applyFill="1" applyBorder="1" applyAlignment="1">
      <alignment horizontal="center"/>
    </xf>
    <xf numFmtId="9" fontId="3" fillId="17" borderId="106" xfId="0" applyNumberFormat="1" applyFont="1" applyFill="1" applyBorder="1" applyAlignment="1">
      <alignment horizontal="center"/>
    </xf>
    <xf numFmtId="166" fontId="3" fillId="17" borderId="104" xfId="0" applyNumberFormat="1" applyFont="1" applyFill="1" applyBorder="1" applyAlignment="1">
      <alignment horizontal="center"/>
    </xf>
    <xf numFmtId="166" fontId="3" fillId="17" borderId="107" xfId="0" applyNumberFormat="1" applyFont="1" applyFill="1" applyBorder="1" applyAlignment="1">
      <alignment horizontal="center"/>
    </xf>
    <xf numFmtId="0" fontId="38" fillId="4" borderId="79" xfId="0" applyFont="1" applyFill="1" applyBorder="1"/>
    <xf numFmtId="172" fontId="32" fillId="14" borderId="86" xfId="0" applyNumberFormat="1" applyFont="1" applyFill="1" applyBorder="1" applyAlignment="1">
      <alignment horizontal="center" vertical="center"/>
    </xf>
    <xf numFmtId="173" fontId="3" fillId="17" borderId="78" xfId="0" applyNumberFormat="1" applyFont="1" applyFill="1" applyBorder="1" applyAlignment="1">
      <alignment horizontal="center"/>
    </xf>
    <xf numFmtId="0" fontId="36" fillId="27" borderId="98" xfId="0" applyFont="1" applyFill="1" applyBorder="1" applyAlignment="1">
      <alignment horizontal="left" vertical="center"/>
    </xf>
    <xf numFmtId="174" fontId="32" fillId="14" borderId="0" xfId="0" applyNumberFormat="1" applyFont="1" applyFill="1" applyAlignment="1">
      <alignment horizontal="center" vertical="center"/>
    </xf>
    <xf numFmtId="0" fontId="24" fillId="33" borderId="0" xfId="0" applyFont="1" applyFill="1" applyAlignment="1">
      <alignment horizontal="left" vertical="center"/>
    </xf>
    <xf numFmtId="0" fontId="24" fillId="33" borderId="70" xfId="0" applyFont="1" applyFill="1" applyBorder="1" applyAlignment="1">
      <alignment horizontal="left" vertical="center"/>
    </xf>
    <xf numFmtId="0" fontId="24" fillId="27" borderId="70" xfId="0" applyFont="1" applyFill="1" applyBorder="1" applyAlignment="1">
      <alignment horizontal="left" vertical="center"/>
    </xf>
    <xf numFmtId="0" fontId="36" fillId="27" borderId="70" xfId="0" applyFont="1" applyFill="1" applyBorder="1" applyAlignment="1">
      <alignment horizontal="left" vertical="center"/>
    </xf>
    <xf numFmtId="0" fontId="24" fillId="27" borderId="0" xfId="0" applyFont="1" applyFill="1" applyAlignment="1">
      <alignment horizontal="left" vertical="center"/>
    </xf>
    <xf numFmtId="0" fontId="36" fillId="34" borderId="79" xfId="0" applyFont="1" applyFill="1" applyBorder="1" applyAlignment="1">
      <alignment horizontal="center" vertical="center"/>
    </xf>
    <xf numFmtId="0" fontId="36" fillId="34" borderId="70" xfId="0" applyFont="1" applyFill="1" applyBorder="1" applyAlignment="1">
      <alignment horizontal="left" vertical="center"/>
    </xf>
    <xf numFmtId="0" fontId="24" fillId="34" borderId="0" xfId="0" applyFont="1" applyFill="1" applyAlignment="1">
      <alignment horizontal="left" vertical="center"/>
    </xf>
    <xf numFmtId="0" fontId="3" fillId="17" borderId="108" xfId="0" applyFont="1" applyFill="1" applyBorder="1" applyAlignment="1">
      <alignment horizontal="center"/>
      <extLst>
        <ext xmlns:xfpb="http://schemas.microsoft.com/office/spreadsheetml/2022/featurepropertybag" uri="{C7286773-470A-42A8-94C5-96B5CB345126}">
          <xfpb:xfComplement i="0"/>
        </ext>
      </extLst>
    </xf>
    <xf numFmtId="9" fontId="3" fillId="17" borderId="109" xfId="0" applyNumberFormat="1" applyFont="1" applyFill="1" applyBorder="1" applyAlignment="1">
      <alignment horizontal="center"/>
    </xf>
    <xf numFmtId="0" fontId="3" fillId="26" borderId="79" xfId="0" applyFont="1" applyFill="1" applyBorder="1"/>
    <xf numFmtId="0" fontId="36" fillId="28" borderId="80" xfId="0" applyFont="1" applyFill="1" applyBorder="1"/>
    <xf numFmtId="0" fontId="36" fillId="28" borderId="80" xfId="0" applyFont="1" applyFill="1" applyBorder="1" applyAlignment="1">
      <alignment horizontal="center"/>
    </xf>
    <xf numFmtId="9" fontId="0" fillId="0" borderId="79" xfId="0" applyNumberFormat="1" applyBorder="1" applyAlignment="1">
      <alignment horizontal="center"/>
    </xf>
    <xf numFmtId="0" fontId="3" fillId="26" borderId="0" xfId="0" applyFont="1" applyFill="1"/>
    <xf numFmtId="0" fontId="22" fillId="26" borderId="0" xfId="0" applyFont="1" applyFill="1" applyAlignment="1">
      <alignment horizontal="left" vertical="center" readingOrder="1"/>
    </xf>
    <xf numFmtId="0" fontId="4" fillId="22" borderId="0" xfId="0" applyFont="1" applyFill="1"/>
    <xf numFmtId="0" fontId="22" fillId="22" borderId="0" xfId="0" applyFont="1" applyFill="1" applyAlignment="1">
      <alignment horizontal="left" vertical="center" readingOrder="1"/>
    </xf>
    <xf numFmtId="0" fontId="23" fillId="0" borderId="0" xfId="0" applyFont="1" applyAlignment="1">
      <alignment horizontal="center" vertical="center"/>
    </xf>
    <xf numFmtId="0" fontId="0" fillId="22" borderId="0" xfId="0" applyFill="1"/>
    <xf numFmtId="16" fontId="0" fillId="0" borderId="0" xfId="0" applyNumberFormat="1"/>
    <xf numFmtId="2" fontId="0" fillId="0" borderId="0" xfId="0" applyNumberFormat="1"/>
    <xf numFmtId="0" fontId="0" fillId="0" borderId="0" xfId="0" applyAlignment="1">
      <alignment horizontal="left" indent="1"/>
    </xf>
    <xf numFmtId="0" fontId="0" fillId="0" borderId="0" xfId="0" applyAlignment="1">
      <alignment horizontal="left" indent="2"/>
    </xf>
    <xf numFmtId="0" fontId="1" fillId="22" borderId="0" xfId="0" applyFont="1" applyFill="1"/>
    <xf numFmtId="0" fontId="0" fillId="0" borderId="0" xfId="0" applyAlignment="1">
      <alignment horizontal="left"/>
    </xf>
    <xf numFmtId="0" fontId="39" fillId="33" borderId="79" xfId="0" applyFont="1" applyFill="1" applyBorder="1" applyAlignment="1">
      <alignment horizontal="center"/>
    </xf>
    <xf numFmtId="0" fontId="39" fillId="27" borderId="98" xfId="0" applyFont="1" applyFill="1" applyBorder="1" applyAlignment="1">
      <alignment horizontal="center"/>
    </xf>
    <xf numFmtId="0" fontId="39" fillId="27" borderId="79" xfId="0" applyFont="1" applyFill="1" applyBorder="1" applyAlignment="1">
      <alignment horizontal="center"/>
    </xf>
    <xf numFmtId="0" fontId="36" fillId="34" borderId="79" xfId="0" applyFont="1" applyFill="1" applyBorder="1" applyAlignment="1">
      <alignment horizontal="center"/>
    </xf>
    <xf numFmtId="0" fontId="40" fillId="34" borderId="95" xfId="0" applyFont="1" applyFill="1" applyBorder="1" applyAlignment="1">
      <alignment horizontal="left" vertical="center" wrapText="1"/>
    </xf>
    <xf numFmtId="0" fontId="40" fillId="34" borderId="93" xfId="0" applyFont="1" applyFill="1" applyBorder="1" applyAlignment="1">
      <alignment horizontal="left" vertical="center" wrapText="1"/>
    </xf>
    <xf numFmtId="0" fontId="40" fillId="34" borderId="94" xfId="0" applyFont="1" applyFill="1" applyBorder="1" applyAlignment="1">
      <alignment horizontal="left" vertical="center" wrapText="1"/>
    </xf>
    <xf numFmtId="0" fontId="25" fillId="34" borderId="95" xfId="0" applyFont="1" applyFill="1" applyBorder="1" applyAlignment="1">
      <alignment horizontal="left" vertical="center" wrapText="1"/>
    </xf>
    <xf numFmtId="0" fontId="25" fillId="34" borderId="93" xfId="0" applyFont="1" applyFill="1" applyBorder="1" applyAlignment="1">
      <alignment horizontal="left" vertical="center" wrapText="1"/>
    </xf>
    <xf numFmtId="0" fontId="25" fillId="34" borderId="96" xfId="0" applyFont="1" applyFill="1" applyBorder="1" applyAlignment="1">
      <alignment horizontal="left" vertical="center" wrapText="1"/>
    </xf>
    <xf numFmtId="0" fontId="25" fillId="33" borderId="92" xfId="0" applyFont="1" applyFill="1" applyBorder="1" applyAlignment="1">
      <alignment horizontal="left" vertical="center" wrapText="1"/>
    </xf>
    <xf numFmtId="0" fontId="25" fillId="33" borderId="93" xfId="0" applyFont="1" applyFill="1" applyBorder="1" applyAlignment="1">
      <alignment horizontal="left" vertical="center" wrapText="1"/>
    </xf>
    <xf numFmtId="0" fontId="25" fillId="33" borderId="94" xfId="0" applyFont="1" applyFill="1" applyBorder="1" applyAlignment="1">
      <alignment horizontal="left" vertical="center" wrapText="1"/>
    </xf>
    <xf numFmtId="0" fontId="25" fillId="33" borderId="95" xfId="0" applyFont="1" applyFill="1" applyBorder="1" applyAlignment="1">
      <alignment horizontal="left" vertical="center" wrapText="1"/>
    </xf>
    <xf numFmtId="0" fontId="40" fillId="27" borderId="93" xfId="0" applyFont="1" applyFill="1" applyBorder="1" applyAlignment="1">
      <alignment horizontal="left" vertical="center" wrapText="1"/>
    </xf>
    <xf numFmtId="0" fontId="40" fillId="27" borderId="94" xfId="0" applyFont="1" applyFill="1" applyBorder="1" applyAlignment="1">
      <alignment horizontal="left" vertical="center" wrapText="1"/>
    </xf>
    <xf numFmtId="0" fontId="25" fillId="12" borderId="95" xfId="0" applyFont="1" applyFill="1" applyBorder="1" applyAlignment="1">
      <alignment horizontal="left" vertical="center" wrapText="1"/>
    </xf>
    <xf numFmtId="0" fontId="25" fillId="12" borderId="93" xfId="0" applyFont="1" applyFill="1" applyBorder="1" applyAlignment="1">
      <alignment horizontal="left" vertical="center" wrapText="1"/>
    </xf>
    <xf numFmtId="0" fontId="25" fillId="12" borderId="94" xfId="0" applyFont="1" applyFill="1" applyBorder="1" applyAlignment="1">
      <alignment horizontal="left" vertical="center" wrapText="1"/>
    </xf>
    <xf numFmtId="0" fontId="25" fillId="33" borderId="96" xfId="0" applyFont="1" applyFill="1" applyBorder="1" applyAlignment="1">
      <alignment horizontal="left" vertical="center" wrapText="1"/>
    </xf>
    <xf numFmtId="0" fontId="40" fillId="27" borderId="95" xfId="0" applyFont="1" applyFill="1" applyBorder="1" applyAlignment="1">
      <alignment horizontal="left" vertical="center" wrapText="1"/>
    </xf>
    <xf numFmtId="0" fontId="40" fillId="27" borderId="96" xfId="0" applyFont="1" applyFill="1" applyBorder="1" applyAlignment="1">
      <alignment horizontal="left" vertical="center" wrapText="1"/>
    </xf>
    <xf numFmtId="0" fontId="25" fillId="34" borderId="92" xfId="0" applyFont="1" applyFill="1" applyBorder="1" applyAlignment="1">
      <alignment horizontal="left" vertical="center" wrapText="1"/>
    </xf>
    <xf numFmtId="0" fontId="25" fillId="34" borderId="94" xfId="0" applyFont="1" applyFill="1" applyBorder="1" applyAlignment="1">
      <alignment horizontal="left" vertical="center" wrapText="1"/>
    </xf>
    <xf numFmtId="0" fontId="0" fillId="22" borderId="0" xfId="0" applyFill="1" applyAlignment="1">
      <alignment vertical="center" wrapText="1"/>
    </xf>
    <xf numFmtId="0" fontId="4" fillId="13" borderId="68" xfId="0" applyFont="1" applyFill="1" applyBorder="1" applyAlignment="1">
      <alignment horizontal="center" vertical="center"/>
    </xf>
    <xf numFmtId="0" fontId="4" fillId="13" borderId="69" xfId="0" applyFont="1" applyFill="1" applyBorder="1" applyAlignment="1">
      <alignment horizontal="center" vertical="center"/>
    </xf>
    <xf numFmtId="0" fontId="4" fillId="4" borderId="67" xfId="0" applyFont="1" applyFill="1" applyBorder="1" applyAlignment="1">
      <alignment horizontal="left" vertical="center"/>
    </xf>
    <xf numFmtId="0" fontId="4" fillId="4" borderId="70" xfId="0" applyFont="1" applyFill="1" applyBorder="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9" fontId="3" fillId="0" borderId="0" xfId="0" applyNumberFormat="1" applyFont="1" applyAlignment="1">
      <alignment horizontal="center" vertical="center"/>
    </xf>
    <xf numFmtId="9" fontId="3" fillId="0" borderId="71" xfId="0" applyNumberFormat="1" applyFont="1" applyBorder="1" applyAlignment="1">
      <alignment horizontal="center" vertical="center"/>
    </xf>
    <xf numFmtId="0" fontId="3" fillId="0" borderId="73" xfId="0" applyFont="1" applyBorder="1" applyAlignment="1">
      <alignment horizontal="left" vertical="center"/>
    </xf>
    <xf numFmtId="0" fontId="3" fillId="0" borderId="73" xfId="0" applyFont="1" applyBorder="1" applyAlignment="1">
      <alignment horizontal="left" vertical="center" wrapText="1"/>
    </xf>
    <xf numFmtId="9" fontId="3" fillId="0" borderId="73" xfId="0" applyNumberFormat="1" applyFont="1" applyBorder="1" applyAlignment="1">
      <alignment horizontal="center" vertical="center"/>
    </xf>
    <xf numFmtId="9" fontId="3" fillId="0" borderId="74" xfId="0" applyNumberFormat="1" applyFont="1" applyBorder="1" applyAlignment="1">
      <alignment horizontal="center" vertical="center"/>
    </xf>
    <xf numFmtId="0" fontId="24" fillId="14" borderId="75" xfId="0" applyFont="1" applyFill="1" applyBorder="1" applyAlignment="1">
      <alignment horizontal="center" vertical="center"/>
    </xf>
    <xf numFmtId="0" fontId="24" fillId="14" borderId="76" xfId="0" applyFont="1" applyFill="1" applyBorder="1" applyAlignment="1">
      <alignment horizontal="center" vertical="center"/>
    </xf>
    <xf numFmtId="0" fontId="24" fillId="14" borderId="77" xfId="0" applyFont="1" applyFill="1" applyBorder="1" applyAlignment="1">
      <alignment horizontal="center" vertical="center"/>
    </xf>
    <xf numFmtId="0" fontId="4" fillId="2" borderId="67" xfId="0" applyFont="1" applyFill="1" applyBorder="1" applyAlignment="1">
      <alignment horizontal="left" vertical="center"/>
    </xf>
    <xf numFmtId="0" fontId="4" fillId="2" borderId="70" xfId="0" applyFont="1" applyFill="1" applyBorder="1" applyAlignment="1">
      <alignment horizontal="left" vertical="center"/>
    </xf>
    <xf numFmtId="0" fontId="4" fillId="4" borderId="68" xfId="0" applyFont="1" applyFill="1" applyBorder="1" applyAlignment="1">
      <alignment horizontal="left" vertical="center"/>
    </xf>
    <xf numFmtId="0" fontId="4" fillId="4" borderId="0" xfId="0" applyFont="1" applyFill="1" applyAlignment="1">
      <alignment horizontal="left" vertical="center"/>
    </xf>
    <xf numFmtId="0" fontId="10" fillId="10" borderId="48" xfId="1" applyFont="1" applyFill="1" applyBorder="1" applyAlignment="1">
      <alignment horizontal="center"/>
    </xf>
    <xf numFmtId="0" fontId="19" fillId="11" borderId="32" xfId="1" applyFont="1" applyFill="1" applyBorder="1" applyAlignment="1">
      <alignment horizontal="center" vertical="center" wrapText="1"/>
    </xf>
    <xf numFmtId="0" fontId="19" fillId="11" borderId="2" xfId="1" applyFont="1" applyFill="1" applyBorder="1" applyAlignment="1">
      <alignment horizontal="center" vertical="center" wrapText="1"/>
    </xf>
    <xf numFmtId="0" fontId="20" fillId="11" borderId="32" xfId="1" applyFont="1" applyFill="1" applyBorder="1" applyAlignment="1">
      <alignment horizontal="center" vertical="center" wrapText="1"/>
    </xf>
    <xf numFmtId="0" fontId="20" fillId="11" borderId="2" xfId="1" applyFont="1" applyFill="1" applyBorder="1" applyAlignment="1">
      <alignment horizontal="center" vertical="center" wrapText="1"/>
    </xf>
    <xf numFmtId="0" fontId="11" fillId="10" borderId="59" xfId="1" applyFont="1" applyFill="1" applyBorder="1" applyAlignment="1">
      <alignment horizontal="center"/>
    </xf>
    <xf numFmtId="0" fontId="11" fillId="10" borderId="48" xfId="1" applyFont="1" applyFill="1" applyBorder="1" applyAlignment="1">
      <alignment horizontal="center"/>
    </xf>
    <xf numFmtId="0" fontId="11" fillId="10" borderId="60" xfId="1" applyFont="1" applyFill="1" applyBorder="1" applyAlignment="1">
      <alignment horizontal="center"/>
    </xf>
    <xf numFmtId="0" fontId="10" fillId="10" borderId="59" xfId="1" applyFont="1" applyFill="1" applyBorder="1" applyAlignment="1">
      <alignment horizontal="center"/>
    </xf>
    <xf numFmtId="0" fontId="10" fillId="10" borderId="60" xfId="1" applyFont="1" applyFill="1" applyBorder="1" applyAlignment="1">
      <alignment horizontal="center"/>
    </xf>
    <xf numFmtId="0" fontId="4" fillId="4" borderId="31" xfId="1" applyFont="1" applyFill="1" applyBorder="1" applyAlignment="1">
      <alignment horizontal="center" vertical="center"/>
    </xf>
    <xf numFmtId="0" fontId="4" fillId="4" borderId="32" xfId="1" applyFont="1" applyFill="1" applyBorder="1" applyAlignment="1">
      <alignment horizontal="center" vertical="center"/>
    </xf>
    <xf numFmtId="0" fontId="4" fillId="4" borderId="51" xfId="1" applyFont="1" applyFill="1" applyBorder="1" applyAlignment="1">
      <alignment horizontal="center" vertical="center"/>
    </xf>
    <xf numFmtId="0" fontId="3" fillId="0" borderId="36" xfId="1" applyFont="1" applyBorder="1" applyAlignment="1">
      <alignment horizontal="left" vertical="center"/>
    </xf>
    <xf numFmtId="0" fontId="3" fillId="0" borderId="38" xfId="1" applyFont="1" applyBorder="1" applyAlignment="1">
      <alignment horizontal="left" vertical="center"/>
    </xf>
    <xf numFmtId="0" fontId="3" fillId="0" borderId="39" xfId="1" applyFont="1" applyBorder="1" applyAlignment="1">
      <alignment horizontal="left" vertical="center"/>
    </xf>
    <xf numFmtId="0" fontId="3" fillId="0" borderId="1" xfId="1" applyFont="1" applyBorder="1" applyAlignment="1">
      <alignment horizontal="center" vertical="center"/>
    </xf>
    <xf numFmtId="0" fontId="3" fillId="0" borderId="0" xfId="1" applyFont="1" applyAlignment="1">
      <alignment horizontal="center" vertical="center"/>
    </xf>
    <xf numFmtId="0" fontId="3" fillId="0" borderId="3" xfId="1" applyFont="1" applyBorder="1" applyAlignment="1">
      <alignment horizontal="center" vertical="center"/>
    </xf>
    <xf numFmtId="0" fontId="3" fillId="0" borderId="43" xfId="1" applyFont="1" applyBorder="1" applyAlignment="1">
      <alignment horizontal="center" vertical="center"/>
    </xf>
    <xf numFmtId="0" fontId="3" fillId="0" borderId="37" xfId="1" applyFont="1" applyBorder="1" applyAlignment="1">
      <alignment horizontal="center" vertical="center"/>
    </xf>
    <xf numFmtId="0" fontId="3" fillId="0" borderId="40" xfId="1" applyFont="1" applyBorder="1" applyAlignment="1">
      <alignment horizontal="center" vertical="center"/>
    </xf>
    <xf numFmtId="0" fontId="3" fillId="0" borderId="4" xfId="1" applyFont="1" applyBorder="1" applyAlignment="1">
      <alignment horizontal="center" vertical="center"/>
    </xf>
    <xf numFmtId="0" fontId="3" fillId="0" borderId="42" xfId="1" applyFont="1" applyBorder="1" applyAlignment="1">
      <alignment horizontal="center" vertical="center"/>
    </xf>
    <xf numFmtId="0" fontId="10" fillId="12" borderId="59" xfId="1" applyFont="1" applyFill="1" applyBorder="1" applyAlignment="1">
      <alignment horizontal="center"/>
    </xf>
    <xf numFmtId="0" fontId="10" fillId="12" borderId="48" xfId="1" applyFont="1" applyFill="1" applyBorder="1" applyAlignment="1">
      <alignment horizontal="center"/>
    </xf>
    <xf numFmtId="0" fontId="12" fillId="8" borderId="32" xfId="1" applyFont="1" applyFill="1" applyBorder="1" applyAlignment="1">
      <alignment horizontal="center" vertical="center"/>
    </xf>
    <xf numFmtId="0" fontId="12" fillId="8" borderId="2" xfId="1" applyFont="1" applyFill="1" applyBorder="1" applyAlignment="1">
      <alignment horizontal="center" vertical="center"/>
    </xf>
    <xf numFmtId="0" fontId="12" fillId="8" borderId="33" xfId="1" applyFont="1" applyFill="1" applyBorder="1" applyAlignment="1">
      <alignment horizontal="center" vertical="center"/>
    </xf>
    <xf numFmtId="0" fontId="12" fillId="8" borderId="35" xfId="1" applyFont="1" applyFill="1" applyBorder="1" applyAlignment="1">
      <alignment horizontal="center" vertical="center"/>
    </xf>
    <xf numFmtId="0" fontId="4" fillId="7" borderId="31" xfId="1" applyFont="1" applyFill="1" applyBorder="1" applyAlignment="1">
      <alignment horizontal="center" vertical="center" wrapText="1"/>
    </xf>
    <xf numFmtId="0" fontId="4" fillId="7" borderId="32" xfId="1" applyFont="1" applyFill="1" applyBorder="1" applyAlignment="1">
      <alignment horizontal="center" vertical="center" wrapText="1"/>
    </xf>
    <xf numFmtId="0" fontId="4" fillId="0" borderId="11" xfId="1" applyFont="1" applyBorder="1" applyAlignment="1">
      <alignment horizontal="left" vertical="center" wrapText="1"/>
    </xf>
    <xf numFmtId="0" fontId="4" fillId="0" borderId="12" xfId="1" applyFont="1" applyBorder="1" applyAlignment="1">
      <alignment horizontal="left" vertical="center" wrapText="1"/>
    </xf>
    <xf numFmtId="0" fontId="4" fillId="0" borderId="14" xfId="1" applyFont="1" applyBorder="1" applyAlignment="1">
      <alignment horizontal="left" vertical="center" wrapText="1"/>
    </xf>
    <xf numFmtId="9" fontId="3" fillId="0" borderId="1" xfId="1" applyNumberFormat="1" applyFont="1" applyBorder="1" applyAlignment="1">
      <alignment horizontal="center" vertical="center"/>
    </xf>
    <xf numFmtId="9" fontId="3" fillId="0" borderId="0" xfId="1" applyNumberFormat="1" applyFont="1" applyAlignment="1">
      <alignment horizontal="center" vertical="center"/>
    </xf>
    <xf numFmtId="0" fontId="3" fillId="0" borderId="17" xfId="1" applyFont="1" applyBorder="1" applyAlignment="1">
      <alignment horizontal="center" vertical="center"/>
    </xf>
    <xf numFmtId="9" fontId="3" fillId="0" borderId="43" xfId="1" applyNumberFormat="1" applyFont="1" applyBorder="1" applyAlignment="1">
      <alignment horizontal="center" vertical="center"/>
    </xf>
    <xf numFmtId="9" fontId="3" fillId="0" borderId="37" xfId="1" applyNumberFormat="1" applyFont="1" applyBorder="1" applyAlignment="1">
      <alignment horizontal="center" vertical="center"/>
    </xf>
    <xf numFmtId="0" fontId="3" fillId="0" borderId="45" xfId="1" applyFont="1" applyBorder="1" applyAlignment="1">
      <alignment horizontal="center" vertical="center"/>
    </xf>
    <xf numFmtId="0" fontId="3" fillId="0" borderId="8" xfId="1" applyFont="1" applyBorder="1" applyAlignment="1">
      <alignment horizontal="center" vertical="center"/>
    </xf>
    <xf numFmtId="0" fontId="3" fillId="0" borderId="2" xfId="1" applyFont="1" applyBorder="1" applyAlignment="1">
      <alignment horizontal="center" vertical="center"/>
    </xf>
    <xf numFmtId="0" fontId="4" fillId="3" borderId="32" xfId="1" applyFont="1" applyFill="1" applyBorder="1" applyAlignment="1">
      <alignment horizontal="center" vertical="center"/>
    </xf>
    <xf numFmtId="0" fontId="4" fillId="3" borderId="33" xfId="1" applyFont="1" applyFill="1" applyBorder="1" applyAlignment="1">
      <alignment horizontal="center" vertical="center"/>
    </xf>
    <xf numFmtId="0" fontId="4" fillId="0" borderId="54" xfId="1" applyFont="1" applyBorder="1" applyAlignment="1">
      <alignment horizontal="center" vertical="center"/>
    </xf>
    <xf numFmtId="0" fontId="4" fillId="0" borderId="55" xfId="1" applyFont="1" applyBorder="1" applyAlignment="1">
      <alignment horizontal="center" vertical="center"/>
    </xf>
    <xf numFmtId="0" fontId="4" fillId="0" borderId="11" xfId="1" applyFont="1" applyBorder="1" applyAlignment="1">
      <alignment vertical="center" wrapText="1"/>
    </xf>
    <xf numFmtId="0" fontId="4" fillId="0" borderId="12" xfId="1" applyFont="1" applyBorder="1" applyAlignment="1">
      <alignment vertical="center" wrapText="1"/>
    </xf>
    <xf numFmtId="0" fontId="4" fillId="0" borderId="14" xfId="1" applyFont="1" applyBorder="1" applyAlignment="1">
      <alignment vertical="center" wrapText="1"/>
    </xf>
    <xf numFmtId="0" fontId="4" fillId="0" borderId="15" xfId="1" applyFont="1" applyBorder="1" applyAlignment="1">
      <alignment vertical="center" wrapText="1"/>
    </xf>
    <xf numFmtId="0" fontId="4" fillId="0" borderId="16" xfId="1" applyFont="1" applyBorder="1" applyAlignment="1">
      <alignment vertical="center" wrapText="1"/>
    </xf>
    <xf numFmtId="0" fontId="4" fillId="2" borderId="31" xfId="1" applyFont="1" applyFill="1" applyBorder="1" applyAlignment="1">
      <alignment horizontal="center" vertical="center" wrapText="1"/>
    </xf>
    <xf numFmtId="0" fontId="4" fillId="2" borderId="34" xfId="1" applyFont="1" applyFill="1" applyBorder="1" applyAlignment="1">
      <alignment horizontal="center" vertical="center" wrapText="1"/>
    </xf>
    <xf numFmtId="0" fontId="4" fillId="2" borderId="32"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4" fillId="7" borderId="2" xfId="1" applyFont="1" applyFill="1" applyBorder="1" applyAlignment="1">
      <alignment horizontal="center" vertical="center" wrapText="1"/>
    </xf>
    <xf numFmtId="0" fontId="4" fillId="2" borderId="52"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0" borderId="5" xfId="1" applyFont="1" applyBorder="1" applyAlignment="1">
      <alignment horizontal="left" vertical="center"/>
    </xf>
    <xf numFmtId="0" fontId="4" fillId="0" borderId="6" xfId="1" applyFont="1" applyBorder="1" applyAlignment="1">
      <alignment horizontal="left" vertical="center"/>
    </xf>
    <xf numFmtId="0" fontId="4" fillId="0" borderId="7" xfId="1" applyFont="1" applyBorder="1" applyAlignment="1">
      <alignment horizontal="left" vertical="center"/>
    </xf>
    <xf numFmtId="0" fontId="4" fillId="2" borderId="52" xfId="1" applyFont="1" applyFill="1" applyBorder="1" applyAlignment="1">
      <alignment horizontal="center" vertical="center"/>
    </xf>
    <xf numFmtId="0" fontId="4" fillId="2" borderId="9" xfId="1" applyFont="1" applyFill="1" applyBorder="1" applyAlignment="1">
      <alignment horizontal="center" vertical="center"/>
    </xf>
    <xf numFmtId="0" fontId="3" fillId="0" borderId="53" xfId="1" applyFont="1" applyBorder="1" applyAlignment="1">
      <alignment horizontal="center" vertical="center"/>
    </xf>
    <xf numFmtId="0" fontId="3" fillId="0" borderId="35" xfId="1" applyFont="1" applyBorder="1" applyAlignment="1">
      <alignment horizontal="center" vertical="center"/>
    </xf>
    <xf numFmtId="0" fontId="4" fillId="0" borderId="54" xfId="1" applyFont="1" applyBorder="1" applyAlignment="1">
      <alignment horizontal="left" vertical="center"/>
    </xf>
    <xf numFmtId="0" fontId="4" fillId="0" borderId="55" xfId="1" applyFont="1" applyBorder="1" applyAlignment="1">
      <alignment horizontal="left" vertical="center"/>
    </xf>
    <xf numFmtId="0" fontId="4" fillId="0" borderId="56" xfId="1" applyFont="1" applyBorder="1" applyAlignment="1">
      <alignment horizontal="left" vertical="center"/>
    </xf>
    <xf numFmtId="0" fontId="4" fillId="0" borderId="0" xfId="1" applyFont="1" applyAlignment="1">
      <alignment horizontal="left" vertical="center" wrapText="1"/>
    </xf>
    <xf numFmtId="0" fontId="4" fillId="0" borderId="48" xfId="1" applyFont="1" applyBorder="1" applyAlignment="1">
      <alignment horizontal="left" vertical="center" wrapText="1"/>
    </xf>
    <xf numFmtId="0" fontId="4" fillId="0" borderId="9" xfId="1" applyFont="1" applyBorder="1" applyAlignment="1">
      <alignment vertical="center" wrapText="1"/>
    </xf>
    <xf numFmtId="0" fontId="4" fillId="0" borderId="25" xfId="1" applyFont="1" applyBorder="1" applyAlignment="1">
      <alignment horizontal="left" vertical="center"/>
    </xf>
    <xf numFmtId="0" fontId="3" fillId="0" borderId="48" xfId="1" applyFont="1" applyBorder="1" applyAlignment="1">
      <alignment horizontal="center" vertical="center"/>
    </xf>
    <xf numFmtId="0" fontId="3" fillId="0" borderId="50" xfId="1" applyFont="1" applyBorder="1" applyAlignment="1">
      <alignment horizontal="center" vertical="center"/>
    </xf>
    <xf numFmtId="0" fontId="4" fillId="0" borderId="49" xfId="1" applyFont="1" applyBorder="1" applyAlignment="1">
      <alignment vertical="center" wrapText="1"/>
    </xf>
    <xf numFmtId="0" fontId="4" fillId="0" borderId="15" xfId="1" applyFont="1" applyBorder="1" applyAlignment="1">
      <alignment horizontal="left" vertical="center" wrapText="1"/>
    </xf>
    <xf numFmtId="0" fontId="4" fillId="0" borderId="16" xfId="1" applyFont="1" applyBorder="1" applyAlignment="1">
      <alignment horizontal="left" vertical="center" wrapText="1"/>
    </xf>
    <xf numFmtId="0" fontId="18" fillId="0" borderId="57" xfId="1" applyFont="1" applyBorder="1" applyAlignment="1">
      <alignment horizontal="center" vertical="center"/>
    </xf>
    <xf numFmtId="0" fontId="18" fillId="0" borderId="58" xfId="1" applyFont="1" applyBorder="1" applyAlignment="1">
      <alignment horizontal="center" vertical="center"/>
    </xf>
    <xf numFmtId="0" fontId="0" fillId="0" borderId="28" xfId="0" applyBorder="1" applyAlignment="1">
      <alignment horizontal="center" vertical="center" wrapText="1"/>
    </xf>
    <xf numFmtId="0" fontId="0" fillId="0" borderId="0" xfId="0" applyAlignment="1">
      <alignment horizontal="left" vertical="center"/>
    </xf>
    <xf numFmtId="0" fontId="22" fillId="0" borderId="65" xfId="0" applyFont="1" applyBorder="1" applyAlignment="1">
      <alignment horizontal="left" vertical="center"/>
    </xf>
    <xf numFmtId="0" fontId="22" fillId="0" borderId="28" xfId="0" applyFont="1" applyBorder="1" applyAlignment="1">
      <alignment horizontal="left" vertical="center"/>
    </xf>
    <xf numFmtId="0" fontId="22" fillId="0" borderId="63" xfId="0" applyFont="1" applyBorder="1" applyAlignment="1">
      <alignment horizontal="center" vertical="center"/>
    </xf>
    <xf numFmtId="0" fontId="22" fillId="0" borderId="62" xfId="0" applyFont="1" applyBorder="1" applyAlignment="1">
      <alignment horizontal="center" vertical="center"/>
    </xf>
    <xf numFmtId="0" fontId="22" fillId="0" borderId="64" xfId="0" applyFont="1" applyBorder="1" applyAlignment="1">
      <alignment horizontal="center" vertical="center"/>
    </xf>
    <xf numFmtId="0" fontId="22" fillId="0" borderId="63" xfId="0" applyFont="1" applyBorder="1" applyAlignment="1">
      <alignment horizontal="left" vertical="center"/>
    </xf>
    <xf numFmtId="0" fontId="22" fillId="0" borderId="64" xfId="0" applyFont="1" applyBorder="1" applyAlignment="1">
      <alignment horizontal="left" vertical="center"/>
    </xf>
    <xf numFmtId="0" fontId="22" fillId="0" borderId="62" xfId="0" applyFont="1" applyBorder="1" applyAlignment="1">
      <alignment horizontal="left" vertical="center"/>
    </xf>
    <xf numFmtId="0" fontId="22" fillId="0" borderId="66" xfId="0" applyFont="1" applyBorder="1" applyAlignment="1">
      <alignment horizontal="center" vertical="center"/>
    </xf>
    <xf numFmtId="0" fontId="22" fillId="0" borderId="0" xfId="0" applyFont="1" applyAlignment="1">
      <alignment horizontal="center" vertical="center"/>
    </xf>
    <xf numFmtId="0" fontId="4" fillId="2" borderId="0" xfId="1" applyFont="1" applyFill="1" applyAlignment="1">
      <alignment horizontal="center" vertical="center"/>
    </xf>
    <xf numFmtId="0" fontId="4" fillId="0" borderId="15" xfId="1" applyFont="1" applyBorder="1" applyAlignment="1">
      <alignment vertical="center"/>
    </xf>
    <xf numFmtId="0" fontId="4" fillId="0" borderId="14" xfId="1" applyFont="1" applyBorder="1" applyAlignment="1">
      <alignment vertical="center"/>
    </xf>
    <xf numFmtId="0" fontId="4" fillId="0" borderId="21" xfId="1" applyFont="1" applyBorder="1" applyAlignment="1">
      <alignment horizontal="left" vertical="center"/>
    </xf>
    <xf numFmtId="0" fontId="4" fillId="0" borderId="24" xfId="1" applyFont="1" applyBorder="1" applyAlignment="1">
      <alignment horizontal="left" vertical="center"/>
    </xf>
    <xf numFmtId="0" fontId="4" fillId="0" borderId="12" xfId="1" applyFont="1" applyBorder="1" applyAlignment="1">
      <alignment vertical="center"/>
    </xf>
    <xf numFmtId="0" fontId="4" fillId="0" borderId="9" xfId="1" applyFont="1" applyBorder="1" applyAlignment="1">
      <alignment vertical="center"/>
    </xf>
    <xf numFmtId="0" fontId="4" fillId="2" borderId="11" xfId="1" applyFont="1" applyFill="1" applyBorder="1" applyAlignment="1">
      <alignment horizontal="center" vertical="center"/>
    </xf>
    <xf numFmtId="0" fontId="4" fillId="0" borderId="13" xfId="1" applyFont="1" applyBorder="1" applyAlignment="1">
      <alignment horizontal="left" vertical="center" wrapText="1"/>
    </xf>
    <xf numFmtId="0" fontId="4" fillId="0" borderId="13" xfId="1" applyFont="1" applyBorder="1" applyAlignment="1">
      <alignment horizontal="left" vertical="center"/>
    </xf>
    <xf numFmtId="0" fontId="4" fillId="0" borderId="10" xfId="1" applyFont="1" applyBorder="1" applyAlignment="1">
      <alignment horizontal="left" vertical="center"/>
    </xf>
    <xf numFmtId="0" fontId="4" fillId="0" borderId="23" xfId="1" applyFont="1" applyBorder="1" applyAlignment="1">
      <alignment horizontal="left" vertical="center"/>
    </xf>
    <xf numFmtId="0" fontId="4" fillId="0" borderId="20" xfId="1" applyFont="1" applyBorder="1" applyAlignment="1">
      <alignment horizontal="left" vertical="center"/>
    </xf>
    <xf numFmtId="0" fontId="4" fillId="2" borderId="21" xfId="1" applyFont="1" applyFill="1" applyBorder="1" applyAlignment="1">
      <alignment horizontal="center" vertical="center" wrapText="1"/>
    </xf>
    <xf numFmtId="0" fontId="4" fillId="2" borderId="22"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left" vertical="center"/>
    </xf>
    <xf numFmtId="0" fontId="4" fillId="0" borderId="0" xfId="1" applyFont="1" applyAlignment="1">
      <alignment horizontal="left" vertical="center"/>
    </xf>
    <xf numFmtId="0" fontId="4" fillId="0" borderId="2" xfId="1" applyFont="1" applyBorder="1" applyAlignment="1">
      <alignment horizontal="left" vertical="center"/>
    </xf>
    <xf numFmtId="0" fontId="4" fillId="2" borderId="11" xfId="1" applyFont="1" applyFill="1" applyBorder="1" applyAlignment="1">
      <alignment horizontal="center" vertical="center" wrapText="1"/>
    </xf>
    <xf numFmtId="0" fontId="4" fillId="0" borderId="11" xfId="1" applyFont="1" applyBorder="1" applyAlignment="1">
      <alignment vertical="center"/>
    </xf>
  </cellXfs>
  <cellStyles count="5">
    <cellStyle name="Normal" xfId="0" builtinId="0"/>
    <cellStyle name="Normal 2" xfId="1" xr:uid="{C9A397CE-C896-4C75-969A-2E8361B9DD3D}"/>
    <cellStyle name="Normal 3" xfId="4" xr:uid="{B6B1AAE9-EDAB-49B7-AA9F-A5F68E4BD119}"/>
    <cellStyle name="Normal 4" xfId="2" xr:uid="{A2076BF4-D9A8-44A8-B995-29134F02A2AA}"/>
    <cellStyle name="Percent" xfId="3" builtinId="5"/>
  </cellStyles>
  <dxfs count="17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theme="0" tint="-4.9989318521683403E-2"/>
      </font>
      <fill>
        <patternFill>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theme="0" tint="-4.9989318521683403E-2"/>
      </font>
      <fill>
        <patternFill>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theme="0" tint="-4.9989318521683403E-2"/>
      </font>
      <fill>
        <patternFill>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theme="0" tint="-4.9989318521683403E-2"/>
      </font>
      <fill>
        <patternFill>
          <bgColor theme="0" tint="-4.9989318521683403E-2"/>
        </patternFill>
      </fill>
    </dxf>
    <dxf>
      <font>
        <color rgb="FF006100"/>
      </font>
      <fill>
        <patternFill>
          <bgColor rgb="FFC6EFCE"/>
        </patternFill>
      </fill>
    </dxf>
    <dxf>
      <fill>
        <patternFill patternType="lightUp">
          <fgColor theme="2" tint="-9.9948118533890809E-2"/>
          <bgColor theme="0" tint="-4.9989318521683403E-2"/>
        </patternFill>
      </fill>
    </dxf>
    <dxf>
      <font>
        <color rgb="FF006100"/>
      </font>
      <fill>
        <patternFill>
          <bgColor rgb="FFC6EFCE"/>
        </patternFill>
      </fill>
    </dxf>
    <dxf>
      <font>
        <color theme="0" tint="-4.9989318521683403E-2"/>
      </font>
      <fill>
        <patternFill>
          <bgColor theme="0" tint="-4.9989318521683403E-2"/>
        </patternFill>
      </fill>
    </dxf>
  </dxfs>
  <tableStyles count="0" defaultTableStyle="TableStyleMedium2" defaultPivotStyle="PivotStyleLight16"/>
  <colors>
    <mruColors>
      <color rgb="FF23456F"/>
      <color rgb="FF990000"/>
      <color rgb="FFFFCCFF"/>
      <color rgb="FFF5D3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4</xdr:col>
      <xdr:colOff>711437</xdr:colOff>
      <xdr:row>8</xdr:row>
      <xdr:rowOff>331233</xdr:rowOff>
    </xdr:from>
    <xdr:to>
      <xdr:col>10</xdr:col>
      <xdr:colOff>590511</xdr:colOff>
      <xdr:row>28</xdr:row>
      <xdr:rowOff>19123</xdr:rowOff>
    </xdr:to>
    <xdr:pic>
      <xdr:nvPicPr>
        <xdr:cNvPr id="16" name="Picture 1">
          <a:extLst>
            <a:ext uri="{FF2B5EF4-FFF2-40B4-BE49-F238E27FC236}">
              <a16:creationId xmlns:a16="http://schemas.microsoft.com/office/drawing/2014/main" id="{7CF18C70-5505-70AD-C2BD-7AF5057F00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3437" y="2659566"/>
          <a:ext cx="7038111" cy="38647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228600</xdr:colOff>
      <xdr:row>33</xdr:row>
      <xdr:rowOff>76200</xdr:rowOff>
    </xdr:to>
    <xdr:pic>
      <xdr:nvPicPr>
        <xdr:cNvPr id="2" name="Picture 1">
          <a:extLst>
            <a:ext uri="{FF2B5EF4-FFF2-40B4-BE49-F238E27FC236}">
              <a16:creationId xmlns:a16="http://schemas.microsoft.com/office/drawing/2014/main" id="{50FCD0A8-C8A4-04CA-26F0-6F9112B63E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249400" cy="636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2ED3-1176-42A3-B33E-5526A056838B}">
  <sheetPr filterMode="1"/>
  <dimension ref="B1:M54"/>
  <sheetViews>
    <sheetView showGridLines="0" zoomScale="102" workbookViewId="0">
      <pane xSplit="2" ySplit="2" topLeftCell="C13" activePane="bottomRight" state="frozen"/>
      <selection pane="bottomRight" activeCell="H29" sqref="H29"/>
      <selection pane="bottomLeft" activeCell="A3" sqref="A3"/>
      <selection pane="topRight" activeCell="D1" sqref="D1"/>
    </sheetView>
  </sheetViews>
  <sheetFormatPr defaultRowHeight="12.75"/>
  <cols>
    <col min="1" max="1" width="9.140625" style="49"/>
    <col min="2" max="2" width="7.42578125" style="49" customWidth="1"/>
    <col min="3" max="3" width="27.28515625" style="49" bestFit="1" customWidth="1"/>
    <col min="4" max="4" width="33" style="49" customWidth="1"/>
    <col min="5" max="5" width="27.28515625" style="49" bestFit="1" customWidth="1"/>
    <col min="6" max="6" width="34" style="49" hidden="1" customWidth="1"/>
    <col min="7" max="7" width="46.140625" style="49" hidden="1" customWidth="1"/>
    <col min="8" max="8" width="99.42578125" style="49" bestFit="1" customWidth="1"/>
    <col min="9" max="9" width="22.85546875" style="49" customWidth="1"/>
    <col min="10" max="10" width="8.85546875" style="139" customWidth="1"/>
    <col min="11" max="11" width="6.85546875" style="49" customWidth="1"/>
    <col min="12" max="12" width="9.140625" style="49"/>
    <col min="13" max="13" width="28" style="49" bestFit="1" customWidth="1"/>
    <col min="14" max="16381" width="9.140625" style="49"/>
    <col min="16382" max="16382" width="8.7109375" style="49" bestFit="1" customWidth="1"/>
    <col min="16383" max="16384" width="8.7109375" style="49" customWidth="1"/>
  </cols>
  <sheetData>
    <row r="1" spans="2:13">
      <c r="J1" s="139">
        <v>100</v>
      </c>
      <c r="M1" s="49" t="s">
        <v>0</v>
      </c>
    </row>
    <row r="2" spans="2:13">
      <c r="B2" s="206" t="s">
        <v>1</v>
      </c>
      <c r="C2" s="206" t="s">
        <v>2</v>
      </c>
      <c r="D2" s="206" t="s">
        <v>3</v>
      </c>
      <c r="E2" s="206" t="s">
        <v>4</v>
      </c>
      <c r="F2" s="206" t="s">
        <v>5</v>
      </c>
      <c r="G2" s="206" t="s">
        <v>6</v>
      </c>
      <c r="H2" s="287" t="s">
        <v>7</v>
      </c>
      <c r="I2" s="287" t="s">
        <v>8</v>
      </c>
      <c r="J2" s="288" t="s">
        <v>9</v>
      </c>
    </row>
    <row r="3" spans="2:13" ht="15" hidden="1">
      <c r="B3" s="197" t="s">
        <v>10</v>
      </c>
      <c r="C3" s="197" t="s">
        <v>11</v>
      </c>
      <c r="D3" s="198" t="s">
        <v>12</v>
      </c>
      <c r="E3" s="207" t="s">
        <v>13</v>
      </c>
      <c r="F3" s="196" t="s">
        <v>14</v>
      </c>
      <c r="G3" s="196" t="s">
        <v>15</v>
      </c>
      <c r="H3" s="196" t="s">
        <v>16</v>
      </c>
      <c r="I3" s="196" t="s">
        <v>17</v>
      </c>
      <c r="J3" s="289">
        <v>0.1</v>
      </c>
    </row>
    <row r="4" spans="2:13" ht="15" hidden="1">
      <c r="B4" s="197" t="s">
        <v>10</v>
      </c>
      <c r="C4" s="197" t="s">
        <v>11</v>
      </c>
      <c r="D4" s="198" t="s">
        <v>12</v>
      </c>
      <c r="E4" s="199" t="s">
        <v>13</v>
      </c>
      <c r="F4" s="196" t="s">
        <v>18</v>
      </c>
      <c r="G4" s="196" t="s">
        <v>19</v>
      </c>
      <c r="H4" s="196" t="s">
        <v>20</v>
      </c>
      <c r="I4" s="196" t="s">
        <v>17</v>
      </c>
      <c r="J4" s="289">
        <v>0.2</v>
      </c>
    </row>
    <row r="5" spans="2:13" ht="15" hidden="1">
      <c r="B5" s="197" t="s">
        <v>10</v>
      </c>
      <c r="C5" s="197" t="s">
        <v>11</v>
      </c>
      <c r="D5" s="198" t="s">
        <v>12</v>
      </c>
      <c r="E5" s="199" t="s">
        <v>13</v>
      </c>
      <c r="F5" s="196" t="s">
        <v>21</v>
      </c>
      <c r="G5" s="196" t="s">
        <v>22</v>
      </c>
      <c r="H5" s="196" t="s">
        <v>23</v>
      </c>
      <c r="I5" s="196" t="s">
        <v>17</v>
      </c>
      <c r="J5" s="289">
        <v>0.15</v>
      </c>
    </row>
    <row r="6" spans="2:13" ht="15" hidden="1">
      <c r="B6" s="197" t="s">
        <v>10</v>
      </c>
      <c r="C6" s="197" t="s">
        <v>11</v>
      </c>
      <c r="D6" s="198" t="s">
        <v>12</v>
      </c>
      <c r="E6" s="208" t="s">
        <v>24</v>
      </c>
      <c r="F6" s="196" t="s">
        <v>18</v>
      </c>
      <c r="G6" s="196" t="s">
        <v>25</v>
      </c>
      <c r="H6" s="196" t="s">
        <v>20</v>
      </c>
      <c r="I6" s="196" t="s">
        <v>26</v>
      </c>
      <c r="J6" s="289">
        <v>0.2</v>
      </c>
    </row>
    <row r="7" spans="2:13" ht="15" hidden="1">
      <c r="B7" s="197" t="s">
        <v>10</v>
      </c>
      <c r="C7" s="197" t="s">
        <v>11</v>
      </c>
      <c r="D7" s="198" t="s">
        <v>12</v>
      </c>
      <c r="E7" s="198" t="s">
        <v>24</v>
      </c>
      <c r="F7" s="204" t="s">
        <v>14</v>
      </c>
      <c r="G7" s="196" t="s">
        <v>15</v>
      </c>
      <c r="H7" s="196" t="s">
        <v>16</v>
      </c>
      <c r="I7" s="196" t="s">
        <v>26</v>
      </c>
      <c r="J7" s="289">
        <v>0.2</v>
      </c>
    </row>
    <row r="8" spans="2:13" ht="15" hidden="1">
      <c r="B8" s="197" t="s">
        <v>10</v>
      </c>
      <c r="C8" s="197" t="s">
        <v>11</v>
      </c>
      <c r="D8" s="198" t="s">
        <v>12</v>
      </c>
      <c r="E8" s="209" t="s">
        <v>27</v>
      </c>
      <c r="F8" s="196" t="s">
        <v>18</v>
      </c>
      <c r="G8" s="196" t="s">
        <v>28</v>
      </c>
      <c r="H8" s="196" t="s">
        <v>20</v>
      </c>
      <c r="I8" s="196" t="s">
        <v>26</v>
      </c>
      <c r="J8" s="289">
        <v>0.2</v>
      </c>
    </row>
    <row r="9" spans="2:13" ht="15" hidden="1">
      <c r="B9" s="197" t="s">
        <v>10</v>
      </c>
      <c r="C9" s="197" t="s">
        <v>29</v>
      </c>
      <c r="D9" s="200" t="s">
        <v>30</v>
      </c>
      <c r="E9" s="210" t="s">
        <v>31</v>
      </c>
      <c r="F9" s="196" t="s">
        <v>18</v>
      </c>
      <c r="G9" s="196" t="s">
        <v>19</v>
      </c>
      <c r="H9" s="196" t="s">
        <v>20</v>
      </c>
      <c r="I9" s="196" t="s">
        <v>26</v>
      </c>
      <c r="J9" s="289">
        <v>0.2</v>
      </c>
    </row>
    <row r="10" spans="2:13" ht="15" hidden="1">
      <c r="B10" s="197" t="s">
        <v>10</v>
      </c>
      <c r="C10" s="197" t="s">
        <v>29</v>
      </c>
      <c r="D10" s="200" t="s">
        <v>30</v>
      </c>
      <c r="E10" s="211" t="s">
        <v>31</v>
      </c>
      <c r="F10" s="196" t="s">
        <v>21</v>
      </c>
      <c r="G10" s="196" t="s">
        <v>22</v>
      </c>
      <c r="H10" s="196" t="s">
        <v>23</v>
      </c>
      <c r="I10" s="196" t="s">
        <v>26</v>
      </c>
      <c r="J10" s="289">
        <v>0.15</v>
      </c>
    </row>
    <row r="11" spans="2:13" ht="15" hidden="1">
      <c r="B11" s="197" t="s">
        <v>10</v>
      </c>
      <c r="C11" s="197" t="s">
        <v>29</v>
      </c>
      <c r="D11" s="200" t="s">
        <v>30</v>
      </c>
      <c r="E11" s="211" t="s">
        <v>32</v>
      </c>
      <c r="F11" s="205" t="s">
        <v>33</v>
      </c>
      <c r="G11" s="196" t="s">
        <v>33</v>
      </c>
      <c r="H11" s="197" t="s">
        <v>34</v>
      </c>
      <c r="I11" s="196" t="s">
        <v>26</v>
      </c>
      <c r="J11" s="289">
        <v>0.15</v>
      </c>
    </row>
    <row r="12" spans="2:13" ht="15" hidden="1">
      <c r="B12" s="197" t="s">
        <v>10</v>
      </c>
      <c r="C12" s="197" t="s">
        <v>29</v>
      </c>
      <c r="D12" s="200" t="s">
        <v>30</v>
      </c>
      <c r="E12" s="212"/>
      <c r="F12" s="197" t="s">
        <v>35</v>
      </c>
      <c r="G12" s="196" t="s">
        <v>36</v>
      </c>
      <c r="H12" s="197" t="s">
        <v>37</v>
      </c>
      <c r="I12" s="197"/>
      <c r="J12" s="289" t="s">
        <v>38</v>
      </c>
    </row>
    <row r="13" spans="2:13" ht="15">
      <c r="B13" s="197" t="s">
        <v>39</v>
      </c>
      <c r="C13" s="197" t="s">
        <v>40</v>
      </c>
      <c r="D13" s="213" t="s">
        <v>41</v>
      </c>
      <c r="E13" s="213" t="s">
        <v>42</v>
      </c>
      <c r="F13" s="196" t="s">
        <v>43</v>
      </c>
      <c r="G13" s="196" t="s">
        <v>28</v>
      </c>
      <c r="H13" s="196" t="s">
        <v>23</v>
      </c>
      <c r="I13" s="196" t="s">
        <v>26</v>
      </c>
      <c r="J13" s="289">
        <v>0.15</v>
      </c>
    </row>
    <row r="14" spans="2:13" ht="15">
      <c r="B14" s="197" t="s">
        <v>39</v>
      </c>
      <c r="C14" s="197" t="s">
        <v>40</v>
      </c>
      <c r="D14" s="213" t="s">
        <v>41</v>
      </c>
      <c r="E14" s="213" t="s">
        <v>44</v>
      </c>
      <c r="F14" s="196" t="s">
        <v>45</v>
      </c>
      <c r="G14" s="197"/>
      <c r="H14" s="196" t="s">
        <v>20</v>
      </c>
      <c r="I14" s="196" t="s">
        <v>26</v>
      </c>
      <c r="J14" s="289">
        <v>0.2</v>
      </c>
    </row>
    <row r="15" spans="2:13" ht="15">
      <c r="B15" s="197" t="s">
        <v>39</v>
      </c>
      <c r="C15" s="197" t="s">
        <v>40</v>
      </c>
      <c r="D15" s="214" t="s">
        <v>46</v>
      </c>
      <c r="E15" s="214" t="s">
        <v>47</v>
      </c>
      <c r="F15" s="203" t="s">
        <v>48</v>
      </c>
      <c r="G15" s="197"/>
      <c r="H15" s="196" t="s">
        <v>49</v>
      </c>
      <c r="I15" s="196" t="s">
        <v>26</v>
      </c>
      <c r="J15" s="289">
        <v>0.15</v>
      </c>
    </row>
    <row r="16" spans="2:13" ht="15">
      <c r="B16" s="197" t="s">
        <v>39</v>
      </c>
      <c r="C16" s="197" t="s">
        <v>40</v>
      </c>
      <c r="D16" s="214" t="s">
        <v>46</v>
      </c>
      <c r="E16" s="214" t="s">
        <v>50</v>
      </c>
      <c r="F16" s="196" t="s">
        <v>51</v>
      </c>
      <c r="G16" s="197"/>
      <c r="H16" s="196" t="s">
        <v>20</v>
      </c>
      <c r="I16" s="196" t="s">
        <v>26</v>
      </c>
      <c r="J16" s="289">
        <v>0.2</v>
      </c>
    </row>
    <row r="17" spans="2:10" ht="15" hidden="1">
      <c r="B17" s="197" t="s">
        <v>52</v>
      </c>
      <c r="C17" s="197" t="s">
        <v>11</v>
      </c>
      <c r="D17" s="215" t="s">
        <v>53</v>
      </c>
      <c r="E17" s="215" t="s">
        <v>54</v>
      </c>
      <c r="F17" s="197" t="s">
        <v>55</v>
      </c>
      <c r="G17" s="197"/>
      <c r="H17" s="196" t="s">
        <v>23</v>
      </c>
      <c r="I17" s="196" t="s">
        <v>17</v>
      </c>
      <c r="J17" s="289">
        <v>0.15</v>
      </c>
    </row>
    <row r="18" spans="2:10" ht="15" hidden="1">
      <c r="B18" s="197" t="s">
        <v>52</v>
      </c>
      <c r="C18" s="197" t="s">
        <v>11</v>
      </c>
      <c r="D18" s="215" t="s">
        <v>53</v>
      </c>
      <c r="E18" s="215" t="s">
        <v>24</v>
      </c>
      <c r="F18" s="197" t="s">
        <v>14</v>
      </c>
      <c r="G18" s="197"/>
      <c r="H18" s="196" t="s">
        <v>16</v>
      </c>
      <c r="I18" s="196" t="s">
        <v>26</v>
      </c>
      <c r="J18" s="289">
        <v>0.2</v>
      </c>
    </row>
    <row r="19" spans="2:10" ht="15" hidden="1">
      <c r="B19" s="197" t="s">
        <v>52</v>
      </c>
      <c r="C19" s="197" t="s">
        <v>11</v>
      </c>
      <c r="D19" s="215" t="s">
        <v>53</v>
      </c>
      <c r="E19" s="215" t="s">
        <v>56</v>
      </c>
      <c r="F19" s="203" t="s">
        <v>57</v>
      </c>
      <c r="G19" s="196" t="s">
        <v>58</v>
      </c>
      <c r="H19" s="196" t="s">
        <v>23</v>
      </c>
      <c r="I19" s="196" t="s">
        <v>26</v>
      </c>
      <c r="J19" s="289">
        <v>0.15</v>
      </c>
    </row>
    <row r="20" spans="2:10" ht="15" hidden="1">
      <c r="B20" s="197" t="s">
        <v>52</v>
      </c>
      <c r="C20" s="197" t="s">
        <v>11</v>
      </c>
      <c r="D20" s="216" t="s">
        <v>59</v>
      </c>
      <c r="E20" s="217" t="s">
        <v>56</v>
      </c>
      <c r="F20" s="197" t="s">
        <v>60</v>
      </c>
      <c r="G20" s="197"/>
      <c r="H20" s="196" t="s">
        <v>49</v>
      </c>
      <c r="I20" s="196" t="s">
        <v>26</v>
      </c>
      <c r="J20" s="289">
        <v>0.15</v>
      </c>
    </row>
    <row r="21" spans="2:10" ht="15" hidden="1">
      <c r="B21" s="197" t="s">
        <v>52</v>
      </c>
      <c r="C21" s="197" t="s">
        <v>11</v>
      </c>
      <c r="D21" s="271" t="s">
        <v>56</v>
      </c>
      <c r="E21" s="271" t="s">
        <v>61</v>
      </c>
      <c r="F21" s="49" t="s">
        <v>62</v>
      </c>
      <c r="H21" s="196" t="s">
        <v>20</v>
      </c>
      <c r="I21" s="196" t="s">
        <v>26</v>
      </c>
      <c r="J21" s="289">
        <v>0.2</v>
      </c>
    </row>
    <row r="22" spans="2:10" ht="15" hidden="1">
      <c r="B22" s="197" t="s">
        <v>52</v>
      </c>
      <c r="C22" s="197" t="s">
        <v>11</v>
      </c>
      <c r="D22" s="271" t="s">
        <v>56</v>
      </c>
      <c r="E22" s="271" t="s">
        <v>63</v>
      </c>
      <c r="F22" s="49" t="s">
        <v>64</v>
      </c>
      <c r="G22" s="49" t="s">
        <v>65</v>
      </c>
      <c r="H22" s="196" t="s">
        <v>20</v>
      </c>
      <c r="I22" s="196" t="s">
        <v>26</v>
      </c>
      <c r="J22" s="289">
        <v>0.2</v>
      </c>
    </row>
    <row r="23" spans="2:10" ht="15" hidden="1">
      <c r="B23" s="197" t="s">
        <v>52</v>
      </c>
      <c r="C23" s="197" t="s">
        <v>29</v>
      </c>
      <c r="D23" s="200" t="s">
        <v>30</v>
      </c>
      <c r="E23" s="211" t="s">
        <v>31</v>
      </c>
      <c r="F23" s="196" t="s">
        <v>18</v>
      </c>
      <c r="G23" s="196" t="s">
        <v>19</v>
      </c>
      <c r="H23" s="196" t="s">
        <v>20</v>
      </c>
      <c r="I23" s="196" t="s">
        <v>26</v>
      </c>
      <c r="J23" s="289">
        <v>0.2</v>
      </c>
    </row>
    <row r="24" spans="2:10" ht="15" hidden="1">
      <c r="B24" s="197" t="s">
        <v>52</v>
      </c>
      <c r="C24" s="197" t="s">
        <v>29</v>
      </c>
      <c r="D24" s="200" t="s">
        <v>30</v>
      </c>
      <c r="E24" s="211" t="s">
        <v>31</v>
      </c>
      <c r="F24" s="196" t="s">
        <v>21</v>
      </c>
      <c r="G24" s="196" t="s">
        <v>66</v>
      </c>
      <c r="H24" s="196" t="s">
        <v>23</v>
      </c>
      <c r="I24" s="196" t="s">
        <v>26</v>
      </c>
      <c r="J24" s="289">
        <v>0.15</v>
      </c>
    </row>
    <row r="25" spans="2:10" ht="15" hidden="1">
      <c r="B25" s="197" t="s">
        <v>52</v>
      </c>
      <c r="C25" s="197" t="s">
        <v>29</v>
      </c>
      <c r="D25" s="200" t="s">
        <v>30</v>
      </c>
      <c r="E25" s="211" t="s">
        <v>32</v>
      </c>
      <c r="F25" s="201" t="s">
        <v>67</v>
      </c>
      <c r="G25" s="196"/>
      <c r="H25" s="197" t="s">
        <v>34</v>
      </c>
      <c r="I25" s="196" t="s">
        <v>26</v>
      </c>
      <c r="J25" s="289">
        <v>0.15</v>
      </c>
    </row>
    <row r="26" spans="2:10" ht="15" hidden="1">
      <c r="C26"/>
      <c r="H26" s="203" t="s">
        <v>57</v>
      </c>
      <c r="I26" s="293"/>
    </row>
    <row r="27" spans="2:10" ht="15">
      <c r="C27"/>
      <c r="D27"/>
    </row>
    <row r="28" spans="2:10" ht="15">
      <c r="C28"/>
      <c r="D28" s="218" t="s">
        <v>68</v>
      </c>
      <c r="E28" s="49">
        <v>0.4</v>
      </c>
    </row>
    <row r="29" spans="2:10" ht="15">
      <c r="C29"/>
      <c r="D29"/>
    </row>
    <row r="30" spans="2:10">
      <c r="D30" s="49" t="s">
        <v>69</v>
      </c>
    </row>
    <row r="31" spans="2:10">
      <c r="D31" s="49" t="s">
        <v>70</v>
      </c>
      <c r="E31" s="49" t="s">
        <v>71</v>
      </c>
      <c r="F31" s="196" t="s">
        <v>14</v>
      </c>
      <c r="G31" s="197" t="s">
        <v>72</v>
      </c>
    </row>
    <row r="32" spans="2:10">
      <c r="D32" s="49" t="s">
        <v>73</v>
      </c>
      <c r="E32" s="49" t="s">
        <v>74</v>
      </c>
      <c r="F32" s="196" t="s">
        <v>75</v>
      </c>
      <c r="G32" s="197" t="s">
        <v>76</v>
      </c>
    </row>
    <row r="33" spans="3:9">
      <c r="D33" s="49" t="s">
        <v>77</v>
      </c>
      <c r="E33" s="49" t="s">
        <v>78</v>
      </c>
      <c r="F33" s="196" t="s">
        <v>21</v>
      </c>
      <c r="G33" s="196" t="s">
        <v>79</v>
      </c>
      <c r="H33" s="195"/>
      <c r="I33" s="195"/>
    </row>
    <row r="34" spans="3:9">
      <c r="D34" s="49" t="s">
        <v>80</v>
      </c>
      <c r="E34" s="49" t="s">
        <v>81</v>
      </c>
      <c r="F34" s="197" t="s">
        <v>82</v>
      </c>
      <c r="G34" s="197" t="s">
        <v>83</v>
      </c>
    </row>
    <row r="35" spans="3:9">
      <c r="F35" s="286" t="s">
        <v>35</v>
      </c>
      <c r="G35" s="286" t="s">
        <v>84</v>
      </c>
      <c r="H35" s="290"/>
      <c r="I35" s="290"/>
    </row>
    <row r="37" spans="3:9">
      <c r="F37" s="202" t="s">
        <v>85</v>
      </c>
      <c r="G37" s="202" t="s">
        <v>57</v>
      </c>
      <c r="H37" s="291"/>
      <c r="I37" s="291"/>
    </row>
    <row r="38" spans="3:9">
      <c r="F38" s="197" t="s">
        <v>86</v>
      </c>
      <c r="G38" s="197" t="s">
        <v>60</v>
      </c>
    </row>
    <row r="43" spans="3:9">
      <c r="C43" s="292" t="s">
        <v>87</v>
      </c>
    </row>
    <row r="44" spans="3:9">
      <c r="C44" s="49" t="s">
        <v>88</v>
      </c>
      <c r="D44" s="49" t="s">
        <v>89</v>
      </c>
    </row>
    <row r="45" spans="3:9">
      <c r="C45" s="49" t="s">
        <v>90</v>
      </c>
      <c r="D45" s="49" t="s">
        <v>91</v>
      </c>
    </row>
    <row r="46" spans="3:9">
      <c r="C46" s="49" t="s">
        <v>92</v>
      </c>
      <c r="D46" s="49" t="s">
        <v>93</v>
      </c>
    </row>
    <row r="47" spans="3:9">
      <c r="C47" s="49" t="s">
        <v>94</v>
      </c>
      <c r="D47" s="49" t="s">
        <v>95</v>
      </c>
    </row>
    <row r="48" spans="3:9">
      <c r="C48" s="49" t="s">
        <v>96</v>
      </c>
      <c r="D48" s="49" t="s">
        <v>97</v>
      </c>
    </row>
    <row r="49" spans="3:4">
      <c r="C49" s="49" t="s">
        <v>98</v>
      </c>
      <c r="D49" s="49" t="s">
        <v>99</v>
      </c>
    </row>
    <row r="50" spans="3:4">
      <c r="C50" s="49" t="s">
        <v>100</v>
      </c>
      <c r="D50" s="49" t="s">
        <v>101</v>
      </c>
    </row>
    <row r="51" spans="3:4">
      <c r="C51" s="49" t="s">
        <v>102</v>
      </c>
      <c r="D51" s="49" t="s">
        <v>101</v>
      </c>
    </row>
    <row r="52" spans="3:4">
      <c r="C52" s="49" t="s">
        <v>103</v>
      </c>
      <c r="D52" s="49" t="s">
        <v>104</v>
      </c>
    </row>
    <row r="53" spans="3:4">
      <c r="C53" s="49" t="s">
        <v>105</v>
      </c>
      <c r="D53" s="49" t="s">
        <v>93</v>
      </c>
    </row>
    <row r="54" spans="3:4">
      <c r="C54" s="49" t="s">
        <v>106</v>
      </c>
      <c r="D54" s="49" t="s">
        <v>107</v>
      </c>
    </row>
  </sheetData>
  <autoFilter ref="B2:J26" xr:uid="{3B622ED3-1176-42A3-B33E-5526A056838B}">
    <filterColumn colId="0">
      <filters>
        <filter val="R2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83B9-DF9D-4F5A-AAE6-28CD6CFD6003}">
  <dimension ref="A1:H19"/>
  <sheetViews>
    <sheetView workbookViewId="0">
      <selection activeCell="F9" sqref="F9"/>
    </sheetView>
  </sheetViews>
  <sheetFormatPr defaultRowHeight="15"/>
  <cols>
    <col min="4" max="8" width="17" customWidth="1"/>
  </cols>
  <sheetData>
    <row r="1" spans="1:8">
      <c r="A1" s="300" t="s">
        <v>108</v>
      </c>
      <c r="B1" s="295"/>
      <c r="C1" s="295"/>
      <c r="D1" s="295"/>
      <c r="E1" s="295"/>
    </row>
    <row r="2" spans="1:8">
      <c r="A2" t="s">
        <v>109</v>
      </c>
      <c r="D2" s="294"/>
      <c r="E2" s="294"/>
      <c r="F2" s="294"/>
      <c r="G2" s="294"/>
      <c r="H2" s="294"/>
    </row>
    <row r="3" spans="1:8">
      <c r="A3" t="s">
        <v>110</v>
      </c>
      <c r="D3" s="294"/>
      <c r="E3" s="294"/>
      <c r="F3" s="294"/>
      <c r="G3" s="294"/>
      <c r="H3" s="294"/>
    </row>
    <row r="4" spans="1:8">
      <c r="A4" t="s">
        <v>111</v>
      </c>
    </row>
    <row r="5" spans="1:8">
      <c r="A5" s="298" t="s">
        <v>112</v>
      </c>
    </row>
    <row r="6" spans="1:8">
      <c r="A6" s="299" t="s">
        <v>113</v>
      </c>
    </row>
    <row r="7" spans="1:8">
      <c r="A7" s="299" t="s">
        <v>114</v>
      </c>
    </row>
    <row r="8" spans="1:8">
      <c r="A8" s="299" t="s">
        <v>115</v>
      </c>
    </row>
    <row r="9" spans="1:8">
      <c r="A9" s="299" t="s">
        <v>116</v>
      </c>
    </row>
    <row r="10" spans="1:8">
      <c r="A10" s="298" t="s">
        <v>117</v>
      </c>
    </row>
    <row r="11" spans="1:8">
      <c r="A11" s="299" t="s">
        <v>118</v>
      </c>
    </row>
    <row r="12" spans="1:8">
      <c r="A12" s="299" t="s">
        <v>119</v>
      </c>
    </row>
    <row r="13" spans="1:8">
      <c r="A13" s="299" t="s">
        <v>120</v>
      </c>
    </row>
    <row r="14" spans="1:8">
      <c r="A14" t="s">
        <v>121</v>
      </c>
    </row>
    <row r="15" spans="1:8">
      <c r="A15" t="s">
        <v>122</v>
      </c>
    </row>
    <row r="16" spans="1:8">
      <c r="A16" s="301" t="s">
        <v>123</v>
      </c>
    </row>
    <row r="17" spans="1:1">
      <c r="A17" t="s">
        <v>124</v>
      </c>
    </row>
    <row r="18" spans="1:1">
      <c r="A18" t="s">
        <v>125</v>
      </c>
    </row>
    <row r="19" spans="1:1">
      <c r="A19"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085F-4DBC-4984-BC4A-E4F4066629E0}">
  <dimension ref="A1:P17"/>
  <sheetViews>
    <sheetView showGridLines="0" zoomScale="133" workbookViewId="0">
      <selection activeCell="C4" sqref="C4:C5"/>
    </sheetView>
  </sheetViews>
  <sheetFormatPr defaultRowHeight="12.75"/>
  <cols>
    <col min="1" max="1" width="9.140625" style="49"/>
    <col min="2" max="2" width="28" style="49" bestFit="1" customWidth="1"/>
    <col min="3" max="3" width="53.140625" style="49" customWidth="1"/>
    <col min="4" max="5" width="11.42578125" style="139" customWidth="1"/>
    <col min="6" max="6" width="17.5703125" style="49" bestFit="1" customWidth="1"/>
    <col min="7" max="7" width="33" style="49" bestFit="1" customWidth="1"/>
    <col min="8" max="9" width="11.42578125" style="139" customWidth="1"/>
    <col min="10" max="10" width="17.5703125" style="49" bestFit="1" customWidth="1"/>
    <col min="11" max="11" width="27" style="49" bestFit="1" customWidth="1"/>
    <col min="12" max="13" width="11.42578125" style="139" customWidth="1"/>
    <col min="14" max="14" width="65.7109375" style="49" bestFit="1" customWidth="1"/>
    <col min="15" max="15" width="12" style="49" bestFit="1" customWidth="1"/>
    <col min="16" max="16384" width="9.140625" style="49"/>
  </cols>
  <sheetData>
    <row r="1" spans="1:16">
      <c r="B1" s="339" t="s">
        <v>127</v>
      </c>
      <c r="C1" s="340"/>
      <c r="D1" s="340"/>
      <c r="E1" s="341"/>
      <c r="F1" s="339" t="s">
        <v>128</v>
      </c>
      <c r="G1" s="340"/>
      <c r="H1" s="340"/>
      <c r="I1" s="341"/>
      <c r="J1" s="339" t="s">
        <v>129</v>
      </c>
      <c r="K1" s="340"/>
      <c r="L1" s="340"/>
      <c r="M1" s="341"/>
      <c r="N1" s="339" t="s">
        <v>130</v>
      </c>
      <c r="O1" s="340"/>
      <c r="P1" s="341"/>
    </row>
    <row r="2" spans="1:16">
      <c r="B2" s="329" t="s">
        <v>127</v>
      </c>
      <c r="C2" s="329" t="s">
        <v>131</v>
      </c>
      <c r="D2" s="327" t="s">
        <v>132</v>
      </c>
      <c r="E2" s="327"/>
      <c r="F2" s="342" t="s">
        <v>133</v>
      </c>
      <c r="G2" s="344" t="s">
        <v>128</v>
      </c>
      <c r="H2" s="327" t="s">
        <v>132</v>
      </c>
      <c r="I2" s="327"/>
      <c r="J2" s="342" t="s">
        <v>133</v>
      </c>
      <c r="K2" s="344" t="s">
        <v>129</v>
      </c>
      <c r="L2" s="327" t="s">
        <v>132</v>
      </c>
      <c r="M2" s="328"/>
      <c r="N2" s="329" t="s">
        <v>130</v>
      </c>
      <c r="O2" s="327" t="s">
        <v>134</v>
      </c>
      <c r="P2" s="328"/>
    </row>
    <row r="3" spans="1:16">
      <c r="B3" s="330"/>
      <c r="C3" s="330"/>
      <c r="D3" s="148" t="s">
        <v>135</v>
      </c>
      <c r="E3" s="148" t="s">
        <v>136</v>
      </c>
      <c r="F3" s="343"/>
      <c r="G3" s="345"/>
      <c r="H3" s="148" t="s">
        <v>135</v>
      </c>
      <c r="I3" s="148" t="s">
        <v>136</v>
      </c>
      <c r="J3" s="343"/>
      <c r="K3" s="345"/>
      <c r="L3" s="148" t="s">
        <v>135</v>
      </c>
      <c r="M3" s="149" t="s">
        <v>136</v>
      </c>
      <c r="N3" s="330"/>
      <c r="O3" s="148" t="s">
        <v>135</v>
      </c>
      <c r="P3" s="149" t="s">
        <v>136</v>
      </c>
    </row>
    <row r="4" spans="1:16" ht="29.25" customHeight="1">
      <c r="B4" s="331" t="s">
        <v>11</v>
      </c>
      <c r="C4" s="332" t="s">
        <v>137</v>
      </c>
      <c r="D4" s="333">
        <v>0</v>
      </c>
      <c r="E4" s="334">
        <v>30</v>
      </c>
      <c r="F4" s="144" t="s">
        <v>138</v>
      </c>
      <c r="G4" s="145" t="s">
        <v>53</v>
      </c>
      <c r="H4" s="150" t="s">
        <v>139</v>
      </c>
      <c r="I4" s="150" t="s">
        <v>140</v>
      </c>
      <c r="J4" s="144" t="s">
        <v>138</v>
      </c>
      <c r="K4" s="145" t="s">
        <v>141</v>
      </c>
      <c r="L4" s="150" t="s">
        <v>139</v>
      </c>
      <c r="M4" s="151" t="s">
        <v>142</v>
      </c>
      <c r="N4" s="144" t="s">
        <v>143</v>
      </c>
      <c r="O4" s="152">
        <v>0</v>
      </c>
      <c r="P4" s="153">
        <v>0.15</v>
      </c>
    </row>
    <row r="5" spans="1:16" ht="29.25" customHeight="1">
      <c r="B5" s="331"/>
      <c r="C5" s="332"/>
      <c r="D5" s="333"/>
      <c r="E5" s="334"/>
      <c r="F5" s="144" t="s">
        <v>138</v>
      </c>
      <c r="G5" s="145" t="s">
        <v>144</v>
      </c>
      <c r="H5" s="152">
        <v>0.8</v>
      </c>
      <c r="I5" s="152">
        <v>1</v>
      </c>
      <c r="J5" s="144" t="s">
        <v>138</v>
      </c>
      <c r="K5" s="145" t="s">
        <v>145</v>
      </c>
      <c r="L5" s="152">
        <v>0.9</v>
      </c>
      <c r="M5" s="153">
        <v>1</v>
      </c>
      <c r="N5" s="144" t="s">
        <v>45</v>
      </c>
      <c r="O5" s="152">
        <v>0</v>
      </c>
      <c r="P5" s="153">
        <v>0.15</v>
      </c>
    </row>
    <row r="6" spans="1:16" ht="29.25" customHeight="1">
      <c r="B6" s="331" t="s">
        <v>0</v>
      </c>
      <c r="C6" s="332" t="s">
        <v>146</v>
      </c>
      <c r="D6" s="333">
        <v>0.05</v>
      </c>
      <c r="E6" s="334">
        <v>0.1</v>
      </c>
      <c r="F6" s="144" t="s">
        <v>147</v>
      </c>
      <c r="G6" s="145" t="s">
        <v>148</v>
      </c>
      <c r="H6" s="152" t="s">
        <v>139</v>
      </c>
      <c r="I6" s="152" t="s">
        <v>142</v>
      </c>
      <c r="J6" s="144" t="s">
        <v>138</v>
      </c>
      <c r="K6" s="145" t="s">
        <v>59</v>
      </c>
      <c r="L6" s="152">
        <v>0</v>
      </c>
      <c r="M6" s="153">
        <v>0.03</v>
      </c>
      <c r="N6" s="144" t="s">
        <v>149</v>
      </c>
      <c r="O6" s="152">
        <v>0</v>
      </c>
      <c r="P6" s="153">
        <v>0.15</v>
      </c>
    </row>
    <row r="7" spans="1:16" ht="29.25" customHeight="1">
      <c r="B7" s="331"/>
      <c r="C7" s="332"/>
      <c r="D7" s="333"/>
      <c r="E7" s="334"/>
      <c r="F7" s="144" t="s">
        <v>147</v>
      </c>
      <c r="G7" s="145" t="s">
        <v>150</v>
      </c>
      <c r="H7" s="150">
        <v>0</v>
      </c>
      <c r="I7" s="150">
        <v>1</v>
      </c>
      <c r="J7" s="144" t="s">
        <v>138</v>
      </c>
      <c r="K7" s="145" t="s">
        <v>151</v>
      </c>
      <c r="L7" s="150" t="s">
        <v>152</v>
      </c>
      <c r="M7" s="151" t="s">
        <v>153</v>
      </c>
      <c r="N7" s="144" t="s">
        <v>154</v>
      </c>
      <c r="O7" s="152">
        <v>0</v>
      </c>
      <c r="P7" s="153">
        <v>0.15</v>
      </c>
    </row>
    <row r="8" spans="1:16" ht="29.25" customHeight="1">
      <c r="B8" s="331" t="s">
        <v>155</v>
      </c>
      <c r="C8" s="336" t="s">
        <v>156</v>
      </c>
      <c r="D8" s="337">
        <v>0.8</v>
      </c>
      <c r="E8" s="334">
        <v>1</v>
      </c>
      <c r="F8" s="144" t="s">
        <v>157</v>
      </c>
      <c r="G8" s="145" t="s">
        <v>12</v>
      </c>
      <c r="H8" s="150">
        <v>0</v>
      </c>
      <c r="I8" s="150">
        <v>45</v>
      </c>
      <c r="J8" s="144" t="s">
        <v>138</v>
      </c>
      <c r="K8" s="145" t="s">
        <v>158</v>
      </c>
      <c r="L8" s="152">
        <v>0.95</v>
      </c>
      <c r="M8" s="153">
        <v>1</v>
      </c>
      <c r="N8" s="144" t="s">
        <v>159</v>
      </c>
      <c r="O8" s="152">
        <v>0</v>
      </c>
      <c r="P8" s="153">
        <v>0.15</v>
      </c>
    </row>
    <row r="9" spans="1:16" ht="29.25" customHeight="1">
      <c r="B9" s="335"/>
      <c r="C9" s="336"/>
      <c r="D9" s="337"/>
      <c r="E9" s="338"/>
      <c r="F9" s="146" t="s">
        <v>157</v>
      </c>
      <c r="G9" s="147" t="s">
        <v>160</v>
      </c>
      <c r="H9" s="155">
        <v>0</v>
      </c>
      <c r="I9" s="155">
        <v>4</v>
      </c>
      <c r="J9" s="144" t="s">
        <v>147</v>
      </c>
      <c r="K9" s="145" t="s">
        <v>161</v>
      </c>
      <c r="L9" s="152">
        <v>0</v>
      </c>
      <c r="M9" s="153">
        <v>0.01</v>
      </c>
      <c r="N9" s="146" t="s">
        <v>162</v>
      </c>
      <c r="O9" s="154">
        <v>0</v>
      </c>
      <c r="P9" s="156">
        <v>0.15</v>
      </c>
    </row>
    <row r="10" spans="1:16">
      <c r="B10" s="145"/>
      <c r="C10" s="145"/>
      <c r="D10" s="150"/>
      <c r="E10" s="150"/>
      <c r="F10" s="145"/>
      <c r="G10" s="145"/>
      <c r="H10" s="150"/>
      <c r="I10" s="150"/>
      <c r="J10" s="144" t="s">
        <v>147</v>
      </c>
      <c r="K10" s="145" t="s">
        <v>163</v>
      </c>
      <c r="L10" s="152">
        <v>0.95</v>
      </c>
      <c r="M10" s="153">
        <v>1</v>
      </c>
      <c r="N10" s="145"/>
      <c r="O10" s="145"/>
      <c r="P10" s="145"/>
    </row>
    <row r="11" spans="1:16" ht="30">
      <c r="A11" s="188" t="s">
        <v>133</v>
      </c>
      <c r="B11" s="188" t="s">
        <v>3</v>
      </c>
      <c r="C11" s="188" t="s">
        <v>4</v>
      </c>
      <c r="D11" s="150"/>
      <c r="E11" s="150"/>
      <c r="F11" s="145"/>
      <c r="G11" s="145"/>
      <c r="H11" s="150"/>
      <c r="I11" s="150"/>
      <c r="J11" s="144" t="s">
        <v>147</v>
      </c>
      <c r="K11" s="145" t="s">
        <v>164</v>
      </c>
      <c r="L11" s="152">
        <v>0.8</v>
      </c>
      <c r="M11" s="153">
        <v>1</v>
      </c>
      <c r="N11" s="145"/>
      <c r="O11" s="145"/>
      <c r="P11" s="145"/>
    </row>
    <row r="12" spans="1:16" ht="15">
      <c r="A12" s="326" t="s">
        <v>165</v>
      </c>
      <c r="B12" s="187" t="s">
        <v>53</v>
      </c>
      <c r="C12" s="187" t="s">
        <v>166</v>
      </c>
      <c r="D12" s="150"/>
      <c r="E12" s="150"/>
      <c r="F12" s="145"/>
      <c r="G12" s="145"/>
      <c r="H12" s="150"/>
      <c r="I12" s="150"/>
      <c r="J12" s="144" t="s">
        <v>147</v>
      </c>
      <c r="K12" s="145" t="s">
        <v>167</v>
      </c>
      <c r="L12" s="152">
        <v>0.99</v>
      </c>
      <c r="M12" s="153">
        <v>1</v>
      </c>
      <c r="N12" s="145"/>
      <c r="O12" s="145"/>
      <c r="P12" s="145"/>
    </row>
    <row r="13" spans="1:16" ht="30">
      <c r="A13" s="326"/>
      <c r="B13" s="187" t="s">
        <v>144</v>
      </c>
      <c r="C13" s="187" t="s">
        <v>168</v>
      </c>
      <c r="E13" s="150"/>
      <c r="F13" s="145"/>
      <c r="G13" s="145"/>
      <c r="H13" s="150"/>
      <c r="I13" s="150"/>
      <c r="J13" s="144" t="s">
        <v>157</v>
      </c>
      <c r="K13" s="145" t="s">
        <v>169</v>
      </c>
      <c r="L13" s="150" t="s">
        <v>139</v>
      </c>
      <c r="M13" s="151" t="s">
        <v>142</v>
      </c>
      <c r="N13" s="145"/>
      <c r="O13" s="145"/>
      <c r="P13" s="145"/>
    </row>
    <row r="14" spans="1:16" ht="15">
      <c r="A14" s="326" t="s">
        <v>170</v>
      </c>
      <c r="B14" s="187" t="s">
        <v>148</v>
      </c>
      <c r="C14" s="187" t="s">
        <v>171</v>
      </c>
      <c r="E14" s="150"/>
      <c r="F14" s="145"/>
      <c r="G14" s="145"/>
      <c r="H14" s="150"/>
      <c r="I14" s="150"/>
      <c r="J14" s="144" t="s">
        <v>157</v>
      </c>
      <c r="K14" s="145" t="s">
        <v>172</v>
      </c>
      <c r="L14" s="152">
        <v>0.9</v>
      </c>
      <c r="M14" s="153">
        <v>1</v>
      </c>
      <c r="N14" s="145"/>
      <c r="O14" s="145"/>
      <c r="P14" s="145"/>
    </row>
    <row r="15" spans="1:16" ht="15">
      <c r="A15" s="326"/>
      <c r="B15" s="187" t="s">
        <v>150</v>
      </c>
      <c r="C15" s="187" t="s">
        <v>173</v>
      </c>
      <c r="E15" s="150"/>
      <c r="F15" s="145"/>
      <c r="G15" s="145"/>
      <c r="H15" s="150"/>
      <c r="I15" s="150"/>
      <c r="J15" s="144" t="s">
        <v>157</v>
      </c>
      <c r="K15" s="145" t="s">
        <v>174</v>
      </c>
      <c r="L15" s="152">
        <v>0.95</v>
      </c>
      <c r="M15" s="153">
        <v>1</v>
      </c>
      <c r="N15" s="145"/>
      <c r="O15" s="145"/>
      <c r="P15" s="145"/>
    </row>
    <row r="16" spans="1:16" ht="30">
      <c r="A16" s="326" t="s">
        <v>175</v>
      </c>
      <c r="B16" s="187" t="s">
        <v>176</v>
      </c>
      <c r="C16" s="187" t="s">
        <v>177</v>
      </c>
      <c r="E16" s="150"/>
      <c r="F16" s="145"/>
      <c r="G16" s="145"/>
      <c r="H16" s="150"/>
      <c r="I16" s="150"/>
      <c r="J16" s="146" t="s">
        <v>157</v>
      </c>
      <c r="K16" s="147" t="s">
        <v>178</v>
      </c>
      <c r="L16" s="154">
        <v>0.95</v>
      </c>
      <c r="M16" s="156">
        <v>1</v>
      </c>
      <c r="N16" s="145"/>
      <c r="O16" s="145"/>
      <c r="P16" s="145"/>
    </row>
    <row r="17" spans="1:3" ht="15">
      <c r="A17" s="326"/>
      <c r="B17" s="187" t="s">
        <v>160</v>
      </c>
      <c r="C17" s="187" t="s">
        <v>179</v>
      </c>
    </row>
  </sheetData>
  <mergeCells count="30">
    <mergeCell ref="E6:E7"/>
    <mergeCell ref="B1:E1"/>
    <mergeCell ref="F1:I1"/>
    <mergeCell ref="J1:M1"/>
    <mergeCell ref="N1:P1"/>
    <mergeCell ref="C2:C3"/>
    <mergeCell ref="L2:M2"/>
    <mergeCell ref="H2:I2"/>
    <mergeCell ref="D2:E2"/>
    <mergeCell ref="B2:B3"/>
    <mergeCell ref="F2:F3"/>
    <mergeCell ref="G2:G3"/>
    <mergeCell ref="J2:J3"/>
    <mergeCell ref="K2:K3"/>
    <mergeCell ref="A12:A13"/>
    <mergeCell ref="A14:A15"/>
    <mergeCell ref="A16:A17"/>
    <mergeCell ref="O2:P2"/>
    <mergeCell ref="N2:N3"/>
    <mergeCell ref="B4:B5"/>
    <mergeCell ref="C4:C5"/>
    <mergeCell ref="D4:D5"/>
    <mergeCell ref="E4:E5"/>
    <mergeCell ref="B8:B9"/>
    <mergeCell ref="C8:C9"/>
    <mergeCell ref="D8:D9"/>
    <mergeCell ref="E8:E9"/>
    <mergeCell ref="B6:B7"/>
    <mergeCell ref="C6:C7"/>
    <mergeCell ref="D6:D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69EC-4085-4871-8776-779137B7F451}">
  <dimension ref="A1:O72"/>
  <sheetViews>
    <sheetView zoomScale="120" workbookViewId="0">
      <selection activeCell="C13" sqref="C13"/>
    </sheetView>
  </sheetViews>
  <sheetFormatPr defaultRowHeight="15"/>
  <cols>
    <col min="1" max="1" width="65.7109375" bestFit="1" customWidth="1"/>
    <col min="2" max="2" width="14.140625" bestFit="1" customWidth="1"/>
    <col min="3" max="3" width="21.85546875" bestFit="1" customWidth="1"/>
    <col min="4" max="4" width="20.7109375" bestFit="1" customWidth="1"/>
    <col min="5" max="5" width="11.7109375" bestFit="1" customWidth="1"/>
    <col min="6" max="6" width="12.5703125" bestFit="1" customWidth="1"/>
    <col min="7" max="7" width="21.7109375" bestFit="1" customWidth="1"/>
    <col min="8" max="8" width="8.140625" bestFit="1" customWidth="1"/>
    <col min="9" max="9" width="18.85546875" bestFit="1" customWidth="1"/>
    <col min="10" max="10" width="13.140625" bestFit="1" customWidth="1"/>
    <col min="11" max="11" width="18.28515625" bestFit="1" customWidth="1"/>
    <col min="12" max="12" width="21.7109375" bestFit="1" customWidth="1"/>
    <col min="13" max="13" width="20.5703125" bestFit="1" customWidth="1"/>
    <col min="14" max="14" width="17.5703125" bestFit="1" customWidth="1"/>
    <col min="15" max="15" width="17.7109375" bestFit="1" customWidth="1"/>
  </cols>
  <sheetData>
    <row r="1" spans="1:15">
      <c r="C1" s="182" t="s">
        <v>141</v>
      </c>
      <c r="D1" s="183" t="s">
        <v>145</v>
      </c>
      <c r="E1" s="182" t="s">
        <v>59</v>
      </c>
      <c r="F1" s="183" t="s">
        <v>151</v>
      </c>
      <c r="G1" s="182" t="s">
        <v>158</v>
      </c>
      <c r="H1" s="183" t="s">
        <v>161</v>
      </c>
      <c r="I1" s="182" t="s">
        <v>163</v>
      </c>
      <c r="J1" s="183" t="s">
        <v>164</v>
      </c>
      <c r="K1" s="182" t="s">
        <v>167</v>
      </c>
      <c r="L1" s="183" t="s">
        <v>169</v>
      </c>
      <c r="M1" s="182" t="s">
        <v>172</v>
      </c>
      <c r="N1" s="183" t="s">
        <v>174</v>
      </c>
      <c r="O1" s="182" t="s">
        <v>178</v>
      </c>
    </row>
    <row r="2" spans="1:15">
      <c r="B2" s="161" t="s">
        <v>180</v>
      </c>
      <c r="C2" s="175">
        <f>SUM(C7,C9,C11,C13,C15,C17)</f>
        <v>-9.9900000000000017E-2</v>
      </c>
      <c r="D2" s="175">
        <f t="shared" ref="D2:O2" si="0">SUM(D7,D9,D11,D13,D15,D17)</f>
        <v>0.1</v>
      </c>
      <c r="E2" s="175">
        <f t="shared" si="0"/>
        <v>-0.1</v>
      </c>
      <c r="F2" s="175">
        <f t="shared" si="0"/>
        <v>-9.9900000000000017E-2</v>
      </c>
      <c r="G2" s="175">
        <f t="shared" si="0"/>
        <v>0.1</v>
      </c>
      <c r="H2" s="175">
        <f t="shared" si="0"/>
        <v>-0.1</v>
      </c>
      <c r="I2" s="175">
        <f t="shared" si="0"/>
        <v>0.1</v>
      </c>
      <c r="J2" s="175">
        <f t="shared" si="0"/>
        <v>9.9900000000000017E-2</v>
      </c>
      <c r="K2" s="175">
        <f t="shared" si="0"/>
        <v>0.1</v>
      </c>
      <c r="L2" s="175">
        <f t="shared" si="0"/>
        <v>-9.9900000000000017E-2</v>
      </c>
      <c r="M2" s="175">
        <f t="shared" si="0"/>
        <v>0.1</v>
      </c>
      <c r="N2" s="175">
        <f t="shared" si="0"/>
        <v>0.1</v>
      </c>
      <c r="O2" s="175">
        <f t="shared" si="0"/>
        <v>0.1</v>
      </c>
    </row>
    <row r="3" spans="1:15">
      <c r="B3" s="161" t="s">
        <v>113</v>
      </c>
      <c r="C3" s="178">
        <v>7</v>
      </c>
      <c r="D3" s="190">
        <v>0.5</v>
      </c>
      <c r="E3" s="190">
        <v>0.04</v>
      </c>
      <c r="F3" s="192">
        <v>4</v>
      </c>
      <c r="G3" s="190">
        <v>0.85</v>
      </c>
      <c r="H3" s="179"/>
      <c r="I3" s="178"/>
      <c r="J3" s="179">
        <v>0.5</v>
      </c>
      <c r="K3" s="178"/>
      <c r="L3" s="178">
        <v>9</v>
      </c>
      <c r="M3" s="190">
        <v>0.5</v>
      </c>
      <c r="N3" s="179"/>
      <c r="O3" s="178"/>
    </row>
    <row r="4" spans="1:15">
      <c r="B4" s="161" t="s">
        <v>181</v>
      </c>
      <c r="C4" s="178">
        <v>5</v>
      </c>
      <c r="D4" s="178" t="s">
        <v>182</v>
      </c>
      <c r="E4" s="179" t="s">
        <v>183</v>
      </c>
      <c r="F4" s="180" t="s">
        <v>184</v>
      </c>
      <c r="G4" s="178" t="s">
        <v>185</v>
      </c>
      <c r="H4" s="179"/>
      <c r="I4" s="178" t="s">
        <v>185</v>
      </c>
      <c r="J4" s="179" t="s">
        <v>186</v>
      </c>
      <c r="K4" s="178"/>
      <c r="L4" s="179" t="s">
        <v>187</v>
      </c>
      <c r="M4" s="178" t="s">
        <v>182</v>
      </c>
      <c r="N4" s="179"/>
      <c r="O4" s="178"/>
    </row>
    <row r="5" spans="1:15">
      <c r="B5" s="161" t="s">
        <v>188</v>
      </c>
      <c r="C5" s="181">
        <f>C3*(1+C2)</f>
        <v>6.3007</v>
      </c>
      <c r="D5" s="191">
        <f>IF(D3*(1+D2)&lt;=100%,D3*(1+D2),1)</f>
        <v>0.55000000000000004</v>
      </c>
      <c r="E5" s="191">
        <f>IF(E3*(1+E2)&lt;=100%,E3*(1+E2),1)</f>
        <v>3.6000000000000004E-2</v>
      </c>
      <c r="F5" s="192">
        <f>F3+(F3*F2)</f>
        <v>3.6004</v>
      </c>
      <c r="G5" s="191">
        <f>IF(G3*(1+G2)&lt;=100%,G3*(1+G2),1)</f>
        <v>0.93500000000000005</v>
      </c>
      <c r="H5" s="179"/>
      <c r="I5" s="181"/>
      <c r="J5" s="191">
        <f>IF(J3*(1+J2)&lt;=100%,J3*(1+J2),1)</f>
        <v>0.54995000000000005</v>
      </c>
      <c r="K5" s="181"/>
      <c r="L5" s="181">
        <f>L3*(1+L2)</f>
        <v>8.1008999999999993</v>
      </c>
      <c r="M5" s="191">
        <f>IF(M3*(1+M2)&lt;=100%,M3*(1+M2),1)</f>
        <v>0.55000000000000004</v>
      </c>
      <c r="N5" s="179"/>
      <c r="O5" s="181"/>
    </row>
    <row r="6" spans="1:15">
      <c r="A6" s="144" t="s">
        <v>143</v>
      </c>
      <c r="B6" s="184"/>
      <c r="C6" s="163" t="b">
        <v>1</v>
      </c>
      <c r="D6" s="163" t="b">
        <v>0</v>
      </c>
      <c r="E6" s="163" t="b">
        <v>0</v>
      </c>
      <c r="F6" s="163" t="b">
        <v>1</v>
      </c>
      <c r="G6" s="163" t="b">
        <v>0</v>
      </c>
      <c r="H6" s="163" t="b">
        <v>0</v>
      </c>
      <c r="I6" s="163" t="b">
        <v>0</v>
      </c>
      <c r="J6" s="163" t="b">
        <v>0</v>
      </c>
      <c r="K6" s="163" t="b">
        <v>0</v>
      </c>
      <c r="L6" s="163" t="b">
        <v>1</v>
      </c>
      <c r="M6" s="163" t="b">
        <v>0</v>
      </c>
      <c r="N6" s="163" t="b">
        <v>0</v>
      </c>
      <c r="O6" s="163" t="b">
        <v>0</v>
      </c>
    </row>
    <row r="7" spans="1:15">
      <c r="B7" s="166" t="s">
        <v>189</v>
      </c>
      <c r="C7" s="189">
        <v>-3.3300000000000003E-2</v>
      </c>
      <c r="D7" s="189"/>
      <c r="E7" s="189"/>
      <c r="F7" s="189">
        <v>-3.3300000000000003E-2</v>
      </c>
      <c r="G7" s="189"/>
      <c r="H7" s="189"/>
      <c r="I7" s="189"/>
      <c r="J7" s="189"/>
      <c r="K7" s="189"/>
      <c r="L7" s="189">
        <v>-3.3300000000000003E-2</v>
      </c>
      <c r="M7" s="189"/>
      <c r="N7" s="189"/>
      <c r="O7" s="189"/>
    </row>
    <row r="8" spans="1:15">
      <c r="A8" s="144" t="s">
        <v>45</v>
      </c>
      <c r="C8" s="163" t="b">
        <v>1</v>
      </c>
      <c r="D8" s="163" t="b">
        <v>1</v>
      </c>
      <c r="E8" s="163" t="b">
        <v>0</v>
      </c>
      <c r="F8" s="163" t="b">
        <v>1</v>
      </c>
      <c r="G8" s="163" t="b">
        <v>0</v>
      </c>
      <c r="H8" s="163" t="b">
        <v>1</v>
      </c>
      <c r="I8" s="163" t="b">
        <v>0</v>
      </c>
      <c r="J8" s="163" t="b">
        <v>1</v>
      </c>
      <c r="K8" s="163" t="b">
        <v>0</v>
      </c>
      <c r="L8" s="163" t="b">
        <v>1</v>
      </c>
      <c r="M8" s="163" t="b">
        <v>1</v>
      </c>
      <c r="N8" s="163" t="b">
        <v>0</v>
      </c>
      <c r="O8" s="163" t="b">
        <v>0</v>
      </c>
    </row>
    <row r="9" spans="1:15">
      <c r="C9" s="189">
        <v>-3.3300000000000003E-2</v>
      </c>
      <c r="D9" s="189">
        <v>0.05</v>
      </c>
      <c r="E9" s="189"/>
      <c r="F9" s="189">
        <v>-3.3300000000000003E-2</v>
      </c>
      <c r="G9" s="189"/>
      <c r="H9" s="189">
        <v>-0.05</v>
      </c>
      <c r="I9" s="189"/>
      <c r="J9" s="189">
        <v>3.3300000000000003E-2</v>
      </c>
      <c r="K9" s="189"/>
      <c r="L9" s="189">
        <v>-3.3300000000000003E-2</v>
      </c>
      <c r="M9" s="189">
        <v>0.05</v>
      </c>
      <c r="N9" s="189"/>
      <c r="O9" s="189"/>
    </row>
    <row r="10" spans="1:15">
      <c r="A10" s="194" t="s">
        <v>149</v>
      </c>
      <c r="C10" s="163" t="b">
        <v>0</v>
      </c>
      <c r="D10" s="163" t="b">
        <v>0</v>
      </c>
      <c r="E10" s="163" t="b">
        <v>1</v>
      </c>
      <c r="F10" s="163" t="b">
        <v>0</v>
      </c>
      <c r="G10" s="163" t="b">
        <v>1</v>
      </c>
      <c r="H10" s="163" t="b">
        <v>0</v>
      </c>
      <c r="I10" s="163" t="b">
        <v>0</v>
      </c>
      <c r="J10" s="163" t="b">
        <v>0</v>
      </c>
      <c r="K10" s="163" t="b">
        <v>0</v>
      </c>
      <c r="L10" s="163" t="b">
        <v>0</v>
      </c>
      <c r="M10" s="163" t="b">
        <v>0</v>
      </c>
      <c r="N10" s="163" t="b">
        <v>0</v>
      </c>
      <c r="O10" s="163" t="b">
        <v>0</v>
      </c>
    </row>
    <row r="11" spans="1:15">
      <c r="A11" s="144"/>
      <c r="C11" s="189"/>
      <c r="D11" s="189"/>
      <c r="E11" s="189">
        <v>-0.1</v>
      </c>
      <c r="F11" s="189"/>
      <c r="G11" s="189">
        <v>0.1</v>
      </c>
      <c r="H11" s="189"/>
      <c r="I11" s="189"/>
      <c r="J11" s="189"/>
      <c r="K11" s="189"/>
      <c r="L11" s="189"/>
      <c r="M11" s="189"/>
      <c r="N11" s="189"/>
      <c r="O11" s="189"/>
    </row>
    <row r="12" spans="1:15">
      <c r="A12" s="144" t="s">
        <v>154</v>
      </c>
      <c r="C12" s="163" t="b">
        <v>0</v>
      </c>
      <c r="D12" s="163" t="b">
        <v>0</v>
      </c>
      <c r="E12" s="163" t="b">
        <v>0</v>
      </c>
      <c r="F12" s="163" t="b">
        <v>0</v>
      </c>
      <c r="G12" s="163" t="b">
        <v>0</v>
      </c>
      <c r="H12" s="163" t="b">
        <v>0</v>
      </c>
      <c r="I12" s="163" t="b">
        <v>0</v>
      </c>
      <c r="J12" s="163" t="b">
        <v>1</v>
      </c>
      <c r="K12" s="163" t="b">
        <v>0</v>
      </c>
      <c r="L12" s="163" t="b">
        <v>1</v>
      </c>
      <c r="M12" s="163" t="b">
        <v>1</v>
      </c>
      <c r="N12" s="163" t="b">
        <v>1</v>
      </c>
      <c r="O12" s="163" t="b">
        <v>0</v>
      </c>
    </row>
    <row r="13" spans="1:15">
      <c r="A13" s="144"/>
      <c r="C13" s="189"/>
      <c r="D13" s="189"/>
      <c r="E13" s="189"/>
      <c r="F13" s="189"/>
      <c r="G13" s="189"/>
      <c r="H13" s="189"/>
      <c r="I13" s="189"/>
      <c r="J13" s="189">
        <v>3.3300000000000003E-2</v>
      </c>
      <c r="K13" s="189"/>
      <c r="L13" s="189">
        <v>-3.3300000000000003E-2</v>
      </c>
      <c r="M13" s="189">
        <v>0.05</v>
      </c>
      <c r="N13" s="189">
        <v>0.1</v>
      </c>
      <c r="O13" s="189"/>
    </row>
    <row r="14" spans="1:15">
      <c r="A14" s="144" t="s">
        <v>159</v>
      </c>
      <c r="C14" s="163" t="b">
        <v>1</v>
      </c>
      <c r="D14" s="163" t="b">
        <v>1</v>
      </c>
      <c r="E14" s="163" t="b">
        <v>0</v>
      </c>
      <c r="F14" s="163" t="b">
        <v>1</v>
      </c>
      <c r="G14" s="163" t="b">
        <v>0</v>
      </c>
      <c r="H14" s="163" t="b">
        <v>0</v>
      </c>
      <c r="I14" s="163" t="b">
        <v>0</v>
      </c>
      <c r="J14" s="163" t="b">
        <v>1</v>
      </c>
      <c r="K14" s="163" t="b">
        <v>1</v>
      </c>
      <c r="L14" s="163" t="b">
        <v>0</v>
      </c>
      <c r="M14" s="163" t="b">
        <v>0</v>
      </c>
      <c r="N14" s="163" t="b">
        <v>0</v>
      </c>
      <c r="O14" s="163" t="b">
        <v>0</v>
      </c>
    </row>
    <row r="15" spans="1:15">
      <c r="A15" s="144"/>
      <c r="C15" s="189">
        <v>-3.3300000000000003E-2</v>
      </c>
      <c r="D15" s="189">
        <v>0.05</v>
      </c>
      <c r="E15" s="189"/>
      <c r="F15" s="189">
        <v>-3.3300000000000003E-2</v>
      </c>
      <c r="G15" s="189"/>
      <c r="H15" s="189"/>
      <c r="I15" s="189"/>
      <c r="J15" s="189">
        <v>3.3300000000000003E-2</v>
      </c>
      <c r="K15" s="189">
        <v>0.05</v>
      </c>
      <c r="L15" s="189"/>
      <c r="M15" s="189"/>
      <c r="N15" s="189"/>
      <c r="O15" s="189"/>
    </row>
    <row r="16" spans="1:15">
      <c r="A16" s="146" t="s">
        <v>162</v>
      </c>
      <c r="C16" s="163" t="b">
        <v>0</v>
      </c>
      <c r="D16" s="163" t="b">
        <v>0</v>
      </c>
      <c r="E16" s="163" t="b">
        <v>0</v>
      </c>
      <c r="F16" s="163" t="b">
        <v>0</v>
      </c>
      <c r="G16" s="163" t="b">
        <v>0</v>
      </c>
      <c r="H16" s="163" t="b">
        <v>1</v>
      </c>
      <c r="I16" s="163" t="b">
        <v>1</v>
      </c>
      <c r="J16" s="163" t="b">
        <v>0</v>
      </c>
      <c r="K16" s="163" t="b">
        <v>1</v>
      </c>
      <c r="L16" s="163" t="b">
        <v>0</v>
      </c>
      <c r="M16" s="163" t="b">
        <v>0</v>
      </c>
      <c r="N16" s="163" t="b">
        <v>0</v>
      </c>
      <c r="O16" s="163" t="b">
        <v>1</v>
      </c>
    </row>
    <row r="17" spans="3:15">
      <c r="C17" s="189"/>
      <c r="D17" s="189"/>
      <c r="E17" s="189"/>
      <c r="F17" s="189"/>
      <c r="G17" s="189"/>
      <c r="H17" s="189">
        <v>-0.05</v>
      </c>
      <c r="I17" s="189">
        <v>0.1</v>
      </c>
      <c r="J17" s="189"/>
      <c r="K17" s="189">
        <v>0.05</v>
      </c>
      <c r="L17" s="189"/>
      <c r="M17" s="189"/>
      <c r="N17" s="189"/>
      <c r="O17" s="189">
        <v>0.1</v>
      </c>
    </row>
    <row r="21" spans="3:15">
      <c r="C21" t="s">
        <v>190</v>
      </c>
      <c r="E21" t="s">
        <v>190</v>
      </c>
    </row>
    <row r="22" spans="3:15">
      <c r="C22" t="s">
        <v>145</v>
      </c>
      <c r="E22" t="s">
        <v>145</v>
      </c>
    </row>
    <row r="23" spans="3:15">
      <c r="C23" t="s">
        <v>191</v>
      </c>
      <c r="E23" t="s">
        <v>191</v>
      </c>
    </row>
    <row r="24" spans="3:15">
      <c r="C24" t="s">
        <v>192</v>
      </c>
      <c r="E24" t="s">
        <v>192</v>
      </c>
    </row>
    <row r="25" spans="3:15">
      <c r="I25" s="296"/>
    </row>
    <row r="28" spans="3:15">
      <c r="C28" t="s">
        <v>63</v>
      </c>
      <c r="E28" t="s">
        <v>63</v>
      </c>
    </row>
    <row r="32" spans="3:15">
      <c r="C32" t="s">
        <v>193</v>
      </c>
      <c r="E32" t="s">
        <v>193</v>
      </c>
    </row>
    <row r="36" spans="3:5">
      <c r="C36" t="s">
        <v>194</v>
      </c>
      <c r="E36" t="s">
        <v>194</v>
      </c>
    </row>
    <row r="40" spans="3:5">
      <c r="C40" t="s">
        <v>195</v>
      </c>
      <c r="E40" t="s">
        <v>195</v>
      </c>
    </row>
    <row r="44" spans="3:5">
      <c r="C44" t="s">
        <v>196</v>
      </c>
      <c r="E44" t="s">
        <v>196</v>
      </c>
    </row>
    <row r="48" spans="3:5">
      <c r="C48" t="s">
        <v>197</v>
      </c>
      <c r="E48" t="s">
        <v>197</v>
      </c>
    </row>
    <row r="52" spans="3:5">
      <c r="C52" t="s">
        <v>198</v>
      </c>
      <c r="E52" t="s">
        <v>198</v>
      </c>
    </row>
    <row r="56" spans="3:5">
      <c r="C56" t="s">
        <v>199</v>
      </c>
      <c r="E56" t="s">
        <v>199</v>
      </c>
    </row>
    <row r="60" spans="3:5">
      <c r="C60" t="s">
        <v>172</v>
      </c>
      <c r="E60" t="s">
        <v>172</v>
      </c>
    </row>
    <row r="64" spans="3:5">
      <c r="C64" t="s">
        <v>200</v>
      </c>
      <c r="E64" t="s">
        <v>200</v>
      </c>
    </row>
    <row r="68" spans="3:5">
      <c r="C68" t="s">
        <v>201</v>
      </c>
      <c r="E68" t="s">
        <v>201</v>
      </c>
    </row>
    <row r="72" spans="3:5">
      <c r="C72" t="s">
        <v>202</v>
      </c>
      <c r="E72" t="s">
        <v>202</v>
      </c>
    </row>
  </sheetData>
  <conditionalFormatting sqref="C6:O6 C8:O8 C10:O10 C12:O12 C14:O14 C16:O17">
    <cfRule type="cellIs" dxfId="173" priority="11" operator="equal">
      <formula>FALSE</formula>
    </cfRule>
  </conditionalFormatting>
  <conditionalFormatting sqref="C6:O17">
    <cfRule type="cellIs" dxfId="172" priority="14" operator="equal">
      <formula>TRUE</formula>
    </cfRule>
  </conditionalFormatting>
  <conditionalFormatting sqref="C7:O7 C9:O9 C11:O11 C13:O13 C15:O15">
    <cfRule type="expression" dxfId="171" priority="9">
      <formula>C6=FALSE</formula>
    </cfRule>
    <cfRule type="cellIs" dxfId="170" priority="10" operator="equal">
      <formula>TRUE</formula>
    </cfRule>
  </conditionalFormatting>
  <conditionalFormatting sqref="C16:O17 C6:O6 C8:O8 C10:O10 C12:O12 C14:O14">
    <cfRule type="expression" dxfId="169" priority="12">
      <formula>FALSE</formula>
    </cfRule>
  </conditionalFormatting>
  <conditionalFormatting sqref="C17:O17">
    <cfRule type="expression" dxfId="168" priority="1">
      <formula>C16=FALSE</formula>
    </cfRule>
    <cfRule type="cellIs" dxfId="167" priority="2" operator="equal">
      <formula>TRUE</formula>
    </cfRule>
    <cfRule type="expression" dxfId="166" priority="5">
      <formula>C16=FALSE</formula>
    </cfRule>
    <cfRule type="cellIs" dxfId="165" priority="6" operator="equal">
      <formula>TRUE</formula>
    </cfRule>
  </conditionalFormatting>
  <conditionalFormatting sqref="H17">
    <cfRule type="expression" dxfId="164" priority="3">
      <formula>H16=FALSE</formula>
    </cfRule>
    <cfRule type="cellIs" dxfId="163" priority="4" operator="equal">
      <formula>TRUE</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41D9-A1F5-4465-9E96-25FCD3E97049}">
  <dimension ref="B1:P70"/>
  <sheetViews>
    <sheetView showGridLines="0" tabSelected="1" zoomScale="120" workbookViewId="0">
      <pane xSplit="3" ySplit="6" topLeftCell="D35" activePane="bottomRight" state="frozen"/>
      <selection pane="bottomRight" activeCell="F37" sqref="F37"/>
      <selection pane="bottomLeft" activeCell="A7" sqref="A7"/>
      <selection pane="topRight" activeCell="C1" sqref="C1"/>
    </sheetView>
  </sheetViews>
  <sheetFormatPr defaultRowHeight="15"/>
  <cols>
    <col min="2" max="2" width="18.5703125" style="240" customWidth="1"/>
    <col min="3" max="3" width="17" bestFit="1" customWidth="1"/>
    <col min="4" max="12" width="27.85546875" style="49" customWidth="1"/>
  </cols>
  <sheetData>
    <row r="1" spans="2:12">
      <c r="D1" s="302" t="s">
        <v>52</v>
      </c>
      <c r="E1" s="302"/>
      <c r="F1" s="302"/>
      <c r="G1" s="302"/>
      <c r="H1" s="303" t="s">
        <v>39</v>
      </c>
      <c r="I1" s="304"/>
      <c r="J1" s="305" t="s">
        <v>10</v>
      </c>
      <c r="K1" s="305"/>
      <c r="L1" s="305"/>
    </row>
    <row r="2" spans="2:12">
      <c r="B2" s="193"/>
      <c r="C2" s="239" t="s">
        <v>203</v>
      </c>
      <c r="D2" s="248" t="s">
        <v>53</v>
      </c>
      <c r="E2" s="248" t="s">
        <v>59</v>
      </c>
      <c r="F2" s="248" t="s">
        <v>191</v>
      </c>
      <c r="G2" s="248" t="s">
        <v>204</v>
      </c>
      <c r="H2" s="274" t="s">
        <v>41</v>
      </c>
      <c r="I2" s="247" t="s">
        <v>46</v>
      </c>
      <c r="J2" s="281" t="s">
        <v>12</v>
      </c>
      <c r="K2" s="281" t="s">
        <v>205</v>
      </c>
      <c r="L2" s="281" t="s">
        <v>206</v>
      </c>
    </row>
    <row r="3" spans="2:12">
      <c r="B3" s="193"/>
      <c r="C3" s="219" t="s">
        <v>180</v>
      </c>
      <c r="D3" s="219">
        <f>SUM(D10,D14,D18,D22,D30,D34,D38,D42,D46,D50,D54,D58,D62)</f>
        <v>-0.25</v>
      </c>
      <c r="E3" s="175">
        <f>SUM(E10,E14,E18,E22,E30,E34,E38,E42,E46,E50,E54,E58,E62)</f>
        <v>-0.05</v>
      </c>
      <c r="F3" s="272">
        <f>SUM(F10,F14,F18,F22,F30,F34,F38,F42,F46,F50,F54,F58,F62,F26)</f>
        <v>-0.16666666666666666</v>
      </c>
      <c r="G3" s="175">
        <f t="shared" ref="G3:J3" si="0">SUM(G10,G14,G18,G22,G30,G34,G38,G42,G46,G50,G54,G58,G62)</f>
        <v>-0.25</v>
      </c>
      <c r="H3" s="220">
        <f>SUM(H38,H42)</f>
        <v>0.11200000000000002</v>
      </c>
      <c r="I3" s="220">
        <f t="shared" si="0"/>
        <v>0.24</v>
      </c>
      <c r="J3" s="175">
        <f t="shared" si="0"/>
        <v>-0.1</v>
      </c>
      <c r="K3" s="175"/>
      <c r="L3" s="175">
        <f>SUM(L10,L14,L18,L22,L30,L34,L38,L42,L46,L50,L54,L58,L62,L66,L70)</f>
        <v>-0.25</v>
      </c>
    </row>
    <row r="4" spans="2:12">
      <c r="B4" s="193"/>
      <c r="C4" s="221" t="s">
        <v>113</v>
      </c>
      <c r="D4" s="221">
        <v>45</v>
      </c>
      <c r="E4" s="179">
        <v>0.02</v>
      </c>
      <c r="F4" s="179">
        <v>0.7</v>
      </c>
      <c r="G4" s="180">
        <v>5</v>
      </c>
      <c r="H4" s="179">
        <v>0.8</v>
      </c>
      <c r="I4" s="242">
        <v>0.04</v>
      </c>
      <c r="J4" s="178">
        <v>65</v>
      </c>
      <c r="K4" s="178"/>
      <c r="L4" s="180">
        <v>5</v>
      </c>
    </row>
    <row r="5" spans="2:12">
      <c r="B5" s="193"/>
      <c r="C5" s="221" t="s">
        <v>181</v>
      </c>
      <c r="D5" s="221" t="s">
        <v>207</v>
      </c>
      <c r="E5" s="179" t="s">
        <v>208</v>
      </c>
      <c r="F5" s="179" t="s">
        <v>209</v>
      </c>
      <c r="G5" s="180" t="s">
        <v>184</v>
      </c>
      <c r="H5" s="179" t="s">
        <v>210</v>
      </c>
      <c r="I5" s="242" t="s">
        <v>211</v>
      </c>
      <c r="J5" s="178" t="s">
        <v>212</v>
      </c>
      <c r="K5" s="178"/>
      <c r="L5" s="180" t="s">
        <v>184</v>
      </c>
    </row>
    <row r="6" spans="2:12" ht="15.75" thickBot="1">
      <c r="B6" s="241" t="s">
        <v>129</v>
      </c>
      <c r="C6" s="221" t="s">
        <v>188</v>
      </c>
      <c r="D6" s="222">
        <f>D4+(D4*D3)</f>
        <v>33.75</v>
      </c>
      <c r="E6" s="179">
        <f>E4*(1+E3)</f>
        <v>1.9E-2</v>
      </c>
      <c r="F6" s="179">
        <f>F4*(1-F3)</f>
        <v>0.81666666666666665</v>
      </c>
      <c r="G6" s="180">
        <f>G4+(G4*G3)</f>
        <v>3.75</v>
      </c>
      <c r="H6" s="179">
        <f>H4*(1+H3)</f>
        <v>0.88960000000000017</v>
      </c>
      <c r="I6" s="242">
        <f>I4*(1+I3)</f>
        <v>4.9599999999999998E-2</v>
      </c>
      <c r="J6" s="178">
        <f>J4+(J4*J3)</f>
        <v>58.5</v>
      </c>
      <c r="K6" s="178"/>
      <c r="L6" s="180">
        <f>L4+(L4*L3)</f>
        <v>3.75</v>
      </c>
    </row>
    <row r="7" spans="2:12">
      <c r="B7" s="312" t="s">
        <v>190</v>
      </c>
      <c r="C7" s="249" t="s">
        <v>213</v>
      </c>
      <c r="D7" s="250" t="b">
        <v>1</v>
      </c>
      <c r="E7" s="251" t="b">
        <v>0</v>
      </c>
      <c r="F7" s="251" t="b">
        <v>0</v>
      </c>
      <c r="G7" s="252" t="b">
        <v>0</v>
      </c>
      <c r="H7" s="163" t="b">
        <v>0</v>
      </c>
      <c r="I7" s="224" t="b">
        <v>0</v>
      </c>
      <c r="J7" s="163" t="b">
        <v>0</v>
      </c>
      <c r="K7" s="163" t="b">
        <v>0</v>
      </c>
      <c r="L7" s="163" t="b">
        <v>0</v>
      </c>
    </row>
    <row r="8" spans="2:12">
      <c r="B8" s="313"/>
      <c r="C8" s="162" t="s">
        <v>214</v>
      </c>
      <c r="D8" s="225">
        <f>10/15</f>
        <v>0.66666666666666663</v>
      </c>
      <c r="E8" s="165"/>
      <c r="F8" s="165"/>
      <c r="G8" s="226"/>
      <c r="H8" s="165"/>
      <c r="I8" s="226"/>
      <c r="J8" s="165"/>
      <c r="K8" s="165"/>
      <c r="L8" s="165"/>
    </row>
    <row r="9" spans="2:12">
      <c r="B9" s="313"/>
      <c r="C9" s="159" t="s">
        <v>215</v>
      </c>
      <c r="D9" s="227">
        <v>-0.15</v>
      </c>
      <c r="E9" s="172"/>
      <c r="F9" s="172"/>
      <c r="G9" s="228"/>
      <c r="H9" s="172"/>
      <c r="I9" s="228"/>
      <c r="J9" s="172"/>
      <c r="K9" s="172"/>
      <c r="L9" s="172"/>
    </row>
    <row r="10" spans="2:12">
      <c r="B10" s="314"/>
      <c r="C10" s="166" t="s">
        <v>216</v>
      </c>
      <c r="D10" s="229">
        <f>D8*D9</f>
        <v>-9.9999999999999992E-2</v>
      </c>
      <c r="E10" s="168"/>
      <c r="F10" s="168"/>
      <c r="G10" s="230"/>
      <c r="H10" s="167"/>
      <c r="I10" s="230"/>
      <c r="J10" s="168"/>
      <c r="K10" s="168"/>
      <c r="L10" s="168"/>
    </row>
    <row r="11" spans="2:12">
      <c r="B11" s="315" t="s">
        <v>145</v>
      </c>
      <c r="C11" s="157" t="s">
        <v>217</v>
      </c>
      <c r="D11" s="223" t="b">
        <v>1</v>
      </c>
      <c r="E11" s="163" t="b">
        <v>0</v>
      </c>
      <c r="F11" s="163" t="b">
        <v>0</v>
      </c>
      <c r="G11" s="224" t="b">
        <v>0</v>
      </c>
      <c r="H11" s="163" t="b">
        <v>0</v>
      </c>
      <c r="I11" s="224" t="b">
        <v>0</v>
      </c>
      <c r="J11" s="163" t="b">
        <v>0</v>
      </c>
      <c r="K11" s="163" t="b">
        <v>0</v>
      </c>
      <c r="L11" s="163" t="b">
        <v>0</v>
      </c>
    </row>
    <row r="12" spans="2:12">
      <c r="B12" s="313"/>
      <c r="C12" s="162" t="s">
        <v>214</v>
      </c>
      <c r="D12" s="225">
        <f>10/15</f>
        <v>0.66666666666666663</v>
      </c>
      <c r="E12" s="176"/>
      <c r="F12" s="176"/>
      <c r="G12" s="231"/>
      <c r="H12" s="176"/>
      <c r="I12" s="226"/>
      <c r="J12" s="165"/>
      <c r="K12" s="165"/>
      <c r="L12" s="165"/>
    </row>
    <row r="13" spans="2:12">
      <c r="B13" s="313"/>
      <c r="C13" s="159" t="s">
        <v>120</v>
      </c>
      <c r="D13" s="227">
        <v>0.15</v>
      </c>
      <c r="E13" s="172"/>
      <c r="F13" s="172"/>
      <c r="G13" s="228"/>
      <c r="H13" s="172"/>
      <c r="I13" s="228"/>
      <c r="J13" s="172"/>
      <c r="K13" s="172"/>
      <c r="L13" s="172"/>
    </row>
    <row r="14" spans="2:12">
      <c r="B14" s="314"/>
      <c r="C14" s="166" t="s">
        <v>189</v>
      </c>
      <c r="D14" s="229">
        <f>-D13*D12</f>
        <v>-9.9999999999999992E-2</v>
      </c>
      <c r="E14" s="167"/>
      <c r="F14" s="167"/>
      <c r="G14" s="232"/>
      <c r="H14" s="167"/>
      <c r="I14" s="230"/>
      <c r="J14" s="168"/>
      <c r="K14" s="168"/>
      <c r="L14" s="168"/>
    </row>
    <row r="15" spans="2:12">
      <c r="B15" s="318" t="s">
        <v>191</v>
      </c>
      <c r="C15" s="157" t="s">
        <v>218</v>
      </c>
      <c r="D15" s="163" t="b">
        <v>1</v>
      </c>
      <c r="E15" s="163" t="b">
        <v>1</v>
      </c>
      <c r="F15" s="163" t="b">
        <v>0</v>
      </c>
      <c r="G15" s="224" t="b">
        <v>0</v>
      </c>
      <c r="H15" s="163" t="b">
        <v>0</v>
      </c>
      <c r="I15" s="224" t="b">
        <v>0</v>
      </c>
      <c r="J15" s="163" t="b">
        <v>0</v>
      </c>
      <c r="K15" s="163" t="b">
        <v>0</v>
      </c>
      <c r="L15" s="163" t="b">
        <v>0</v>
      </c>
    </row>
    <row r="16" spans="2:12">
      <c r="B16" s="319"/>
      <c r="C16" s="162" t="s">
        <v>214</v>
      </c>
      <c r="D16" s="176">
        <f>5/10</f>
        <v>0.5</v>
      </c>
      <c r="E16" s="185">
        <f>5/10</f>
        <v>0.5</v>
      </c>
      <c r="F16" s="185"/>
      <c r="G16" s="231"/>
      <c r="H16" s="165"/>
      <c r="I16" s="226"/>
      <c r="J16" s="165"/>
      <c r="K16" s="165"/>
      <c r="L16" s="165"/>
    </row>
    <row r="17" spans="2:12">
      <c r="B17" s="319"/>
      <c r="C17" s="159" t="s">
        <v>120</v>
      </c>
      <c r="D17" s="172">
        <v>0.1</v>
      </c>
      <c r="E17" s="186">
        <v>0.1</v>
      </c>
      <c r="F17" s="186"/>
      <c r="G17" s="228"/>
      <c r="H17" s="172"/>
      <c r="I17" s="228"/>
      <c r="J17" s="172"/>
      <c r="K17" s="172"/>
      <c r="L17" s="172"/>
    </row>
    <row r="18" spans="2:12">
      <c r="B18" s="320"/>
      <c r="C18" s="166" t="s">
        <v>189</v>
      </c>
      <c r="D18" s="189">
        <f>-D17*D16</f>
        <v>-0.05</v>
      </c>
      <c r="E18" s="189">
        <f>-E17*E16</f>
        <v>-0.05</v>
      </c>
      <c r="F18" s="189"/>
      <c r="G18" s="232"/>
      <c r="H18" s="168"/>
      <c r="I18" s="230"/>
      <c r="J18" s="168"/>
      <c r="K18" s="168"/>
      <c r="L18" s="168"/>
    </row>
    <row r="19" spans="2:12">
      <c r="B19" s="315" t="s">
        <v>192</v>
      </c>
      <c r="C19" s="157" t="s">
        <v>219</v>
      </c>
      <c r="D19" s="223" t="b">
        <v>0</v>
      </c>
      <c r="E19" s="163" t="b">
        <v>0</v>
      </c>
      <c r="F19" s="163" t="b">
        <v>1</v>
      </c>
      <c r="G19" s="224" t="b">
        <v>0</v>
      </c>
      <c r="H19" s="163" t="b">
        <v>0</v>
      </c>
      <c r="I19" s="224" t="b">
        <v>0</v>
      </c>
      <c r="J19" s="163" t="b">
        <v>0</v>
      </c>
      <c r="K19" s="163" t="b">
        <v>0</v>
      </c>
      <c r="L19" s="163" t="b">
        <v>0</v>
      </c>
    </row>
    <row r="20" spans="2:12">
      <c r="B20" s="313"/>
      <c r="C20" s="162" t="s">
        <v>214</v>
      </c>
      <c r="D20" s="233"/>
      <c r="E20" s="176"/>
      <c r="F20" s="176">
        <f>10/15</f>
        <v>0.66666666666666663</v>
      </c>
      <c r="G20" s="226"/>
      <c r="H20" s="165"/>
      <c r="I20" s="226"/>
      <c r="J20" s="165"/>
      <c r="K20" s="165"/>
      <c r="L20" s="176"/>
    </row>
    <row r="21" spans="2:12">
      <c r="B21" s="313"/>
      <c r="C21" s="159" t="s">
        <v>120</v>
      </c>
      <c r="D21" s="227"/>
      <c r="E21" s="172"/>
      <c r="F21" s="172">
        <v>0.1</v>
      </c>
      <c r="G21" s="228"/>
      <c r="H21" s="172"/>
      <c r="I21" s="228"/>
      <c r="J21" s="172"/>
      <c r="K21" s="172"/>
      <c r="L21" s="172"/>
    </row>
    <row r="22" spans="2:12">
      <c r="B22" s="314"/>
      <c r="C22" s="166" t="s">
        <v>189</v>
      </c>
      <c r="D22" s="234"/>
      <c r="E22" s="189"/>
      <c r="F22" s="273">
        <f>-F21*F20</f>
        <v>-6.6666666666666666E-2</v>
      </c>
      <c r="G22" s="230"/>
      <c r="H22" s="168"/>
      <c r="I22" s="230"/>
      <c r="J22" s="168"/>
      <c r="K22" s="168"/>
      <c r="L22" s="167"/>
    </row>
    <row r="23" spans="2:12">
      <c r="B23" s="315" t="s">
        <v>63</v>
      </c>
      <c r="C23" s="157" t="s">
        <v>219</v>
      </c>
      <c r="D23" s="223" t="b">
        <v>0</v>
      </c>
      <c r="E23" s="163" t="b">
        <v>0</v>
      </c>
      <c r="F23" s="163" t="b">
        <v>1</v>
      </c>
      <c r="G23" s="224" t="b">
        <v>0</v>
      </c>
      <c r="H23" s="223" t="b">
        <v>0</v>
      </c>
      <c r="I23" s="224" t="b">
        <v>0</v>
      </c>
      <c r="J23" s="163" t="b">
        <v>0</v>
      </c>
      <c r="K23" s="163" t="b">
        <v>0</v>
      </c>
      <c r="L23" s="163" t="b">
        <v>0</v>
      </c>
    </row>
    <row r="24" spans="2:12">
      <c r="B24" s="313"/>
      <c r="C24" s="162" t="s">
        <v>214</v>
      </c>
      <c r="D24" s="233"/>
      <c r="E24" s="176"/>
      <c r="F24" s="185">
        <v>0.66666666666666663</v>
      </c>
      <c r="G24" s="226"/>
      <c r="H24" s="243"/>
      <c r="I24" s="226"/>
      <c r="J24" s="165"/>
      <c r="K24" s="165"/>
      <c r="L24" s="176"/>
    </row>
    <row r="25" spans="2:12">
      <c r="B25" s="313"/>
      <c r="C25" s="159" t="s">
        <v>120</v>
      </c>
      <c r="D25" s="227"/>
      <c r="E25" s="172"/>
      <c r="F25" s="186">
        <v>0.15</v>
      </c>
      <c r="G25" s="228"/>
      <c r="H25" s="227"/>
      <c r="I25" s="228"/>
      <c r="J25" s="172"/>
      <c r="K25" s="172"/>
      <c r="L25" s="172"/>
    </row>
    <row r="26" spans="2:12">
      <c r="B26" s="314"/>
      <c r="C26" s="166" t="s">
        <v>189</v>
      </c>
      <c r="D26" s="234"/>
      <c r="E26" s="189"/>
      <c r="F26" s="273">
        <f>-F25*F24</f>
        <v>-9.9999999999999992E-2</v>
      </c>
      <c r="G26" s="230"/>
      <c r="H26" s="244"/>
      <c r="I26" s="230"/>
      <c r="J26" s="168"/>
      <c r="K26" s="168"/>
      <c r="L26" s="167"/>
    </row>
    <row r="27" spans="2:12">
      <c r="B27" s="315" t="s">
        <v>193</v>
      </c>
      <c r="C27" s="157" t="s">
        <v>220</v>
      </c>
      <c r="D27" s="223" t="b">
        <v>0</v>
      </c>
      <c r="E27" s="163" t="b">
        <v>0</v>
      </c>
      <c r="F27" s="163" t="b">
        <v>0</v>
      </c>
      <c r="G27" s="224" t="b">
        <v>1</v>
      </c>
      <c r="H27" s="163" t="b">
        <v>0</v>
      </c>
      <c r="I27" s="224" t="b">
        <v>0</v>
      </c>
      <c r="J27" s="163" t="b">
        <v>0</v>
      </c>
      <c r="K27" s="163" t="b">
        <v>0</v>
      </c>
      <c r="L27" s="163" t="b">
        <v>0</v>
      </c>
    </row>
    <row r="28" spans="2:12">
      <c r="B28" s="313"/>
      <c r="C28" s="162" t="s">
        <v>214</v>
      </c>
      <c r="D28" s="225"/>
      <c r="E28" s="176"/>
      <c r="F28" s="176"/>
      <c r="G28" s="231">
        <f>20/30</f>
        <v>0.66666666666666663</v>
      </c>
      <c r="H28" s="165"/>
      <c r="I28" s="226"/>
      <c r="J28" s="165"/>
      <c r="K28" s="165"/>
      <c r="L28" s="165"/>
    </row>
    <row r="29" spans="2:12">
      <c r="B29" s="313"/>
      <c r="C29" s="159" t="s">
        <v>120</v>
      </c>
      <c r="D29" s="227"/>
      <c r="E29" s="172"/>
      <c r="F29" s="172"/>
      <c r="G29" s="228">
        <v>0.3</v>
      </c>
      <c r="H29" s="172"/>
      <c r="I29" s="228"/>
      <c r="J29" s="172"/>
      <c r="K29" s="172"/>
      <c r="L29" s="172"/>
    </row>
    <row r="30" spans="2:12">
      <c r="B30" s="314"/>
      <c r="C30" s="166" t="s">
        <v>189</v>
      </c>
      <c r="D30" s="234"/>
      <c r="E30" s="167"/>
      <c r="F30" s="167"/>
      <c r="G30" s="235">
        <f>-G29*G28</f>
        <v>-0.19999999999999998</v>
      </c>
      <c r="H30" s="168"/>
      <c r="I30" s="230"/>
      <c r="J30" s="168"/>
      <c r="K30" s="168"/>
      <c r="L30" s="168"/>
    </row>
    <row r="31" spans="2:12">
      <c r="B31" s="315" t="s">
        <v>194</v>
      </c>
      <c r="C31" s="157" t="s">
        <v>221</v>
      </c>
      <c r="D31" s="223" t="b">
        <v>0</v>
      </c>
      <c r="E31" s="163" t="b">
        <v>0</v>
      </c>
      <c r="F31" s="163" t="b">
        <v>0</v>
      </c>
      <c r="G31" s="224" t="b">
        <v>1</v>
      </c>
      <c r="H31" s="163" t="b">
        <v>0</v>
      </c>
      <c r="I31" s="224" t="b">
        <v>0</v>
      </c>
      <c r="J31" s="163" t="b">
        <v>0</v>
      </c>
      <c r="K31" s="163" t="b">
        <v>0</v>
      </c>
      <c r="L31" s="163" t="b">
        <v>0</v>
      </c>
    </row>
    <row r="32" spans="2:12">
      <c r="B32" s="313"/>
      <c r="C32" s="162" t="s">
        <v>214</v>
      </c>
      <c r="D32" s="233"/>
      <c r="E32" s="169"/>
      <c r="F32" s="169"/>
      <c r="G32" s="231">
        <f>5/10</f>
        <v>0.5</v>
      </c>
      <c r="H32" s="176"/>
      <c r="I32" s="231"/>
      <c r="J32" s="165"/>
      <c r="K32" s="165"/>
      <c r="L32" s="165"/>
    </row>
    <row r="33" spans="2:12">
      <c r="B33" s="313"/>
      <c r="C33" s="159" t="s">
        <v>120</v>
      </c>
      <c r="D33" s="227"/>
      <c r="E33" s="173"/>
      <c r="F33" s="173"/>
      <c r="G33" s="228">
        <v>0.1</v>
      </c>
      <c r="H33" s="172"/>
      <c r="I33" s="228"/>
      <c r="J33" s="172"/>
      <c r="K33" s="172"/>
      <c r="L33" s="172"/>
    </row>
    <row r="34" spans="2:12" ht="15.75" thickBot="1">
      <c r="B34" s="321"/>
      <c r="C34" s="253" t="s">
        <v>189</v>
      </c>
      <c r="D34" s="236"/>
      <c r="E34" s="237"/>
      <c r="F34" s="237"/>
      <c r="G34" s="238">
        <f>-G33*G32</f>
        <v>-0.05</v>
      </c>
      <c r="H34" s="177"/>
      <c r="I34" s="245"/>
      <c r="J34" s="168"/>
      <c r="K34" s="168"/>
      <c r="L34" s="168"/>
    </row>
    <row r="35" spans="2:12">
      <c r="B35" s="316" t="s">
        <v>195</v>
      </c>
      <c r="C35" s="157" t="s">
        <v>222</v>
      </c>
      <c r="D35" s="163" t="b">
        <v>0</v>
      </c>
      <c r="E35" s="163" t="b">
        <v>0</v>
      </c>
      <c r="F35" s="163" t="b">
        <v>0</v>
      </c>
      <c r="G35" s="163" t="b">
        <v>0</v>
      </c>
      <c r="H35" s="223" t="b">
        <v>1</v>
      </c>
      <c r="I35" s="224" t="b">
        <v>0</v>
      </c>
      <c r="J35" s="163" t="b">
        <v>0</v>
      </c>
      <c r="K35" s="163" t="b">
        <v>0</v>
      </c>
      <c r="L35" s="163" t="b">
        <v>0</v>
      </c>
    </row>
    <row r="36" spans="2:12">
      <c r="B36" s="316"/>
      <c r="C36" s="162" t="s">
        <v>214</v>
      </c>
      <c r="D36" s="164"/>
      <c r="E36" s="165"/>
      <c r="F36" s="165"/>
      <c r="G36" s="165"/>
      <c r="H36" s="225">
        <v>0.8</v>
      </c>
      <c r="I36" s="231"/>
      <c r="J36" s="165"/>
      <c r="K36" s="165"/>
      <c r="L36" s="165"/>
    </row>
    <row r="37" spans="2:12">
      <c r="B37" s="316"/>
      <c r="C37" s="159" t="s">
        <v>120</v>
      </c>
      <c r="D37" s="172"/>
      <c r="E37" s="172"/>
      <c r="F37" s="172"/>
      <c r="G37" s="172"/>
      <c r="H37" s="227">
        <v>0.04</v>
      </c>
      <c r="I37" s="228"/>
      <c r="J37" s="172"/>
      <c r="K37" s="172"/>
      <c r="L37" s="172"/>
    </row>
    <row r="38" spans="2:12">
      <c r="B38" s="317"/>
      <c r="C38" s="166" t="s">
        <v>189</v>
      </c>
      <c r="D38" s="167"/>
      <c r="E38" s="168"/>
      <c r="F38" s="168"/>
      <c r="G38" s="168"/>
      <c r="H38" s="235">
        <f>H37*H36</f>
        <v>3.2000000000000001E-2</v>
      </c>
      <c r="I38" s="232"/>
      <c r="J38" s="168"/>
      <c r="K38" s="168"/>
      <c r="L38" s="168"/>
    </row>
    <row r="39" spans="2:12">
      <c r="B39" s="322" t="s">
        <v>196</v>
      </c>
      <c r="C39" s="157" t="s">
        <v>223</v>
      </c>
      <c r="D39" s="163" t="b">
        <v>0</v>
      </c>
      <c r="E39" s="163" t="b">
        <v>0</v>
      </c>
      <c r="F39" s="163" t="b">
        <v>0</v>
      </c>
      <c r="G39" s="163" t="b">
        <v>0</v>
      </c>
      <c r="H39" s="223" t="b">
        <v>1</v>
      </c>
      <c r="I39" s="224" t="b">
        <v>0</v>
      </c>
      <c r="J39" s="163" t="b">
        <v>0</v>
      </c>
      <c r="K39" s="163" t="b">
        <v>0</v>
      </c>
      <c r="L39" s="163" t="b">
        <v>0</v>
      </c>
    </row>
    <row r="40" spans="2:12">
      <c r="B40" s="316"/>
      <c r="C40" s="162" t="s">
        <v>214</v>
      </c>
      <c r="D40" s="164"/>
      <c r="E40" s="165"/>
      <c r="F40" s="165"/>
      <c r="G40" s="165"/>
      <c r="H40" s="225">
        <v>0.8</v>
      </c>
      <c r="I40" s="226"/>
      <c r="J40" s="165"/>
      <c r="K40" s="165"/>
      <c r="L40" s="164"/>
    </row>
    <row r="41" spans="2:12">
      <c r="B41" s="316"/>
      <c r="C41" s="159" t="s">
        <v>120</v>
      </c>
      <c r="D41" s="172"/>
      <c r="E41" s="172"/>
      <c r="F41" s="172"/>
      <c r="G41" s="172"/>
      <c r="H41" s="227">
        <v>0.1</v>
      </c>
      <c r="I41" s="228"/>
      <c r="J41" s="172"/>
      <c r="K41" s="172"/>
      <c r="L41" s="172"/>
    </row>
    <row r="42" spans="2:12">
      <c r="B42" s="317"/>
      <c r="C42" s="166" t="s">
        <v>189</v>
      </c>
      <c r="D42" s="167"/>
      <c r="E42" s="168"/>
      <c r="F42" s="168"/>
      <c r="G42" s="168"/>
      <c r="H42" s="229">
        <f>H41*H40</f>
        <v>8.0000000000000016E-2</v>
      </c>
      <c r="I42" s="230"/>
      <c r="J42" s="168"/>
      <c r="K42" s="168"/>
      <c r="L42" s="171"/>
    </row>
    <row r="43" spans="2:12">
      <c r="B43" s="322" t="s">
        <v>197</v>
      </c>
      <c r="C43" s="157" t="s">
        <v>224</v>
      </c>
      <c r="D43" s="163" t="b">
        <v>0</v>
      </c>
      <c r="E43" s="163" t="b">
        <v>0</v>
      </c>
      <c r="F43" s="163" t="b">
        <v>0</v>
      </c>
      <c r="G43" s="163" t="b">
        <v>0</v>
      </c>
      <c r="H43" s="223" t="b">
        <v>0</v>
      </c>
      <c r="I43" s="224" t="b">
        <v>1</v>
      </c>
      <c r="J43" s="163" t="b">
        <v>0</v>
      </c>
      <c r="K43" s="163" t="b">
        <v>0</v>
      </c>
      <c r="L43" s="163" t="b">
        <v>0</v>
      </c>
    </row>
    <row r="44" spans="2:12">
      <c r="B44" s="316"/>
      <c r="C44" s="162" t="s">
        <v>214</v>
      </c>
      <c r="D44" s="164"/>
      <c r="E44" s="165"/>
      <c r="F44" s="165"/>
      <c r="G44" s="165"/>
      <c r="H44" s="225"/>
      <c r="I44" s="231">
        <v>0.8</v>
      </c>
      <c r="J44" s="165"/>
      <c r="K44" s="165"/>
      <c r="L44" s="165"/>
    </row>
    <row r="45" spans="2:12">
      <c r="B45" s="316"/>
      <c r="C45" s="159" t="s">
        <v>120</v>
      </c>
      <c r="D45" s="172"/>
      <c r="E45" s="172"/>
      <c r="F45" s="172"/>
      <c r="G45" s="172"/>
      <c r="H45" s="227"/>
      <c r="I45" s="228">
        <v>0.15</v>
      </c>
      <c r="J45" s="172"/>
      <c r="K45" s="172"/>
      <c r="L45" s="172"/>
    </row>
    <row r="46" spans="2:12">
      <c r="B46" s="317"/>
      <c r="C46" s="166" t="s">
        <v>189</v>
      </c>
      <c r="D46" s="167"/>
      <c r="E46" s="168"/>
      <c r="F46" s="168"/>
      <c r="G46" s="168"/>
      <c r="H46" s="234"/>
      <c r="I46" s="235">
        <f>I45*I44</f>
        <v>0.12</v>
      </c>
      <c r="J46" s="168"/>
      <c r="K46" s="168"/>
      <c r="L46" s="168"/>
    </row>
    <row r="47" spans="2:12">
      <c r="B47" s="322" t="s">
        <v>198</v>
      </c>
      <c r="C47" s="157" t="s">
        <v>225</v>
      </c>
      <c r="D47" s="163" t="b">
        <v>0</v>
      </c>
      <c r="E47" s="163" t="b">
        <v>0</v>
      </c>
      <c r="F47" s="163" t="b">
        <v>0</v>
      </c>
      <c r="G47" s="163" t="b">
        <v>0</v>
      </c>
      <c r="H47" s="223" t="b">
        <v>0</v>
      </c>
      <c r="I47" s="224" t="b">
        <v>1</v>
      </c>
      <c r="J47" s="163" t="b">
        <v>0</v>
      </c>
      <c r="K47" s="163" t="b">
        <v>0</v>
      </c>
      <c r="L47" s="163" t="b">
        <v>0</v>
      </c>
    </row>
    <row r="48" spans="2:12">
      <c r="B48" s="316"/>
      <c r="C48" s="162" t="s">
        <v>214</v>
      </c>
      <c r="D48" s="164"/>
      <c r="E48" s="165"/>
      <c r="F48" s="165"/>
      <c r="G48" s="165"/>
      <c r="H48" s="243"/>
      <c r="I48" s="231">
        <v>0.8</v>
      </c>
      <c r="J48" s="176"/>
      <c r="K48" s="176"/>
      <c r="L48" s="176"/>
    </row>
    <row r="49" spans="2:16">
      <c r="B49" s="316"/>
      <c r="C49" s="159" t="s">
        <v>120</v>
      </c>
      <c r="D49" s="172"/>
      <c r="E49" s="172"/>
      <c r="F49" s="172"/>
      <c r="G49" s="172"/>
      <c r="H49" s="227"/>
      <c r="I49" s="228">
        <v>0.15</v>
      </c>
      <c r="J49" s="172"/>
      <c r="K49" s="172"/>
      <c r="L49" s="172"/>
    </row>
    <row r="50" spans="2:16" ht="15.75" thickBot="1">
      <c r="B50" s="323"/>
      <c r="C50" s="166" t="s">
        <v>189</v>
      </c>
      <c r="D50" s="167"/>
      <c r="E50" s="168"/>
      <c r="F50" s="168"/>
      <c r="G50" s="168"/>
      <c r="H50" s="246"/>
      <c r="I50" s="238">
        <f>I49*I48</f>
        <v>0.12</v>
      </c>
      <c r="J50" s="254"/>
      <c r="K50" s="254"/>
      <c r="L50" s="254"/>
    </row>
    <row r="51" spans="2:16">
      <c r="B51" s="324" t="s">
        <v>199</v>
      </c>
      <c r="C51" s="157" t="s">
        <v>226</v>
      </c>
      <c r="D51" s="163" t="b">
        <v>0</v>
      </c>
      <c r="E51" s="163" t="b">
        <v>0</v>
      </c>
      <c r="F51" s="163" t="b">
        <v>0</v>
      </c>
      <c r="G51" s="163" t="b">
        <v>0</v>
      </c>
      <c r="H51" s="163" t="b">
        <v>0</v>
      </c>
      <c r="I51" s="163" t="b">
        <v>0</v>
      </c>
      <c r="J51" s="255" t="b">
        <v>1</v>
      </c>
      <c r="K51" s="284" t="b">
        <v>0</v>
      </c>
      <c r="L51" s="256" t="b">
        <v>0</v>
      </c>
    </row>
    <row r="52" spans="2:16">
      <c r="B52" s="310"/>
      <c r="C52" s="162" t="s">
        <v>214</v>
      </c>
      <c r="D52" s="164"/>
      <c r="E52" s="165"/>
      <c r="F52" s="165"/>
      <c r="G52" s="165"/>
      <c r="H52" s="165"/>
      <c r="I52" s="165"/>
      <c r="J52" s="257">
        <v>0.5</v>
      </c>
      <c r="K52" s="176"/>
      <c r="L52" s="258"/>
    </row>
    <row r="53" spans="2:16">
      <c r="B53" s="310"/>
      <c r="C53" s="159" t="s">
        <v>120</v>
      </c>
      <c r="D53" s="172"/>
      <c r="E53" s="172"/>
      <c r="F53" s="172"/>
      <c r="G53" s="172"/>
      <c r="H53" s="172"/>
      <c r="I53" s="172"/>
      <c r="J53" s="259">
        <v>-0.1</v>
      </c>
      <c r="K53" s="172"/>
      <c r="L53" s="260"/>
    </row>
    <row r="54" spans="2:16">
      <c r="B54" s="325"/>
      <c r="C54" s="166" t="s">
        <v>189</v>
      </c>
      <c r="D54" s="167"/>
      <c r="E54" s="168"/>
      <c r="F54" s="168"/>
      <c r="G54" s="168"/>
      <c r="H54" s="168"/>
      <c r="I54" s="168"/>
      <c r="J54" s="269">
        <f>J52*J53</f>
        <v>-0.05</v>
      </c>
      <c r="K54" s="189"/>
      <c r="L54" s="262"/>
    </row>
    <row r="55" spans="2:16">
      <c r="B55" s="306" t="s">
        <v>172</v>
      </c>
      <c r="C55" s="157" t="s">
        <v>227</v>
      </c>
      <c r="D55" s="163" t="b">
        <v>0</v>
      </c>
      <c r="E55" s="163" t="b">
        <v>0</v>
      </c>
      <c r="F55" s="163" t="b">
        <v>0</v>
      </c>
      <c r="G55" s="163" t="b">
        <v>0</v>
      </c>
      <c r="H55" s="163" t="b">
        <v>0</v>
      </c>
      <c r="I55" s="163" t="b">
        <v>0</v>
      </c>
      <c r="J55" s="263" t="b">
        <v>0</v>
      </c>
      <c r="K55" s="263" t="b">
        <v>1</v>
      </c>
      <c r="L55" s="264" t="b">
        <v>0</v>
      </c>
      <c r="N55" t="s">
        <v>228</v>
      </c>
    </row>
    <row r="56" spans="2:16">
      <c r="B56" s="307"/>
      <c r="C56" s="162" t="s">
        <v>214</v>
      </c>
      <c r="D56" s="164"/>
      <c r="E56" s="165"/>
      <c r="F56" s="165"/>
      <c r="G56" s="165"/>
      <c r="H56" s="165"/>
      <c r="I56" s="165"/>
      <c r="J56" s="257"/>
      <c r="K56" s="257">
        <f>10/15</f>
        <v>0.66666666666666663</v>
      </c>
      <c r="L56" s="265"/>
    </row>
    <row r="57" spans="2:16">
      <c r="B57" s="307"/>
      <c r="C57" s="159" t="s">
        <v>120</v>
      </c>
      <c r="D57" s="172"/>
      <c r="E57" s="172"/>
      <c r="F57" s="172"/>
      <c r="G57" s="172"/>
      <c r="H57" s="172"/>
      <c r="I57" s="172"/>
      <c r="J57" s="259"/>
      <c r="K57" s="259">
        <v>0.1</v>
      </c>
      <c r="L57" s="260"/>
    </row>
    <row r="58" spans="2:16">
      <c r="B58" s="308"/>
      <c r="C58" s="166" t="s">
        <v>189</v>
      </c>
      <c r="D58" s="167"/>
      <c r="E58" s="168"/>
      <c r="F58" s="168"/>
      <c r="G58" s="168"/>
      <c r="H58" s="168"/>
      <c r="I58" s="168"/>
      <c r="J58" s="269"/>
      <c r="K58" s="269">
        <f>-K56*K57</f>
        <v>-6.6666666666666666E-2</v>
      </c>
      <c r="L58" s="266"/>
    </row>
    <row r="59" spans="2:16">
      <c r="B59" s="306" t="s">
        <v>200</v>
      </c>
      <c r="C59" s="157" t="s">
        <v>229</v>
      </c>
      <c r="D59" s="163" t="b">
        <v>0</v>
      </c>
      <c r="E59" s="163" t="b">
        <v>0</v>
      </c>
      <c r="F59" s="163" t="b">
        <v>0</v>
      </c>
      <c r="G59" s="163" t="b">
        <v>0</v>
      </c>
      <c r="H59" s="163" t="b">
        <v>0</v>
      </c>
      <c r="I59" s="163" t="b">
        <v>0</v>
      </c>
      <c r="J59" s="263" t="b">
        <v>1</v>
      </c>
      <c r="K59" s="163" t="b">
        <v>1</v>
      </c>
      <c r="L59" s="264" t="b">
        <v>0</v>
      </c>
    </row>
    <row r="60" spans="2:16">
      <c r="B60" s="307"/>
      <c r="C60" s="162" t="s">
        <v>214</v>
      </c>
      <c r="D60" s="164"/>
      <c r="E60" s="165"/>
      <c r="F60" s="165"/>
      <c r="G60" s="165"/>
      <c r="H60" s="165"/>
      <c r="I60" s="176"/>
      <c r="J60" s="257">
        <v>0.5</v>
      </c>
      <c r="K60" s="176"/>
      <c r="L60" s="258"/>
    </row>
    <row r="61" spans="2:16">
      <c r="B61" s="307"/>
      <c r="C61" s="159" t="s">
        <v>120</v>
      </c>
      <c r="D61" s="172"/>
      <c r="E61" s="172"/>
      <c r="F61" s="172"/>
      <c r="G61" s="172"/>
      <c r="H61" s="172"/>
      <c r="I61" s="172"/>
      <c r="J61" s="259">
        <v>0.1</v>
      </c>
      <c r="K61" s="172"/>
      <c r="L61" s="260"/>
      <c r="P61" s="297">
        <f>120*45%</f>
        <v>54</v>
      </c>
    </row>
    <row r="62" spans="2:16">
      <c r="B62" s="308"/>
      <c r="C62" s="166" t="s">
        <v>189</v>
      </c>
      <c r="D62" s="167"/>
      <c r="E62" s="168"/>
      <c r="F62" s="168"/>
      <c r="G62" s="168"/>
      <c r="H62" s="168"/>
      <c r="I62" s="167"/>
      <c r="J62" s="269">
        <f>-J60*J61</f>
        <v>-0.05</v>
      </c>
      <c r="K62" s="189"/>
      <c r="L62" s="262"/>
    </row>
    <row r="63" spans="2:16">
      <c r="B63" s="306" t="s">
        <v>201</v>
      </c>
      <c r="C63" s="157" t="s">
        <v>230</v>
      </c>
      <c r="D63" s="163" t="b">
        <v>0</v>
      </c>
      <c r="E63" s="163" t="b">
        <v>0</v>
      </c>
      <c r="F63" s="163" t="b">
        <v>0</v>
      </c>
      <c r="G63" s="163" t="b">
        <v>0</v>
      </c>
      <c r="H63" s="163" t="b">
        <v>0</v>
      </c>
      <c r="I63" s="163" t="b">
        <v>0</v>
      </c>
      <c r="J63" s="263" t="b">
        <v>0</v>
      </c>
      <c r="K63" s="264" t="b">
        <v>1</v>
      </c>
      <c r="L63" s="264" t="b">
        <v>1</v>
      </c>
    </row>
    <row r="64" spans="2:16">
      <c r="B64" s="307"/>
      <c r="C64" s="162" t="s">
        <v>214</v>
      </c>
      <c r="D64" s="164"/>
      <c r="E64" s="165"/>
      <c r="F64" s="165"/>
      <c r="G64" s="165"/>
      <c r="H64" s="165"/>
      <c r="I64" s="176"/>
      <c r="J64" s="257"/>
      <c r="K64" s="258">
        <f>20/30</f>
        <v>0.66666666666666663</v>
      </c>
      <c r="L64" s="258">
        <f>20/30</f>
        <v>0.66666666666666663</v>
      </c>
    </row>
    <row r="65" spans="2:12">
      <c r="B65" s="307"/>
      <c r="C65" s="159" t="s">
        <v>120</v>
      </c>
      <c r="D65" s="172"/>
      <c r="E65" s="172"/>
      <c r="F65" s="172"/>
      <c r="G65" s="172"/>
      <c r="H65" s="172"/>
      <c r="I65" s="172"/>
      <c r="J65" s="259"/>
      <c r="K65" s="260">
        <v>0.3</v>
      </c>
      <c r="L65" s="260">
        <v>0.3</v>
      </c>
    </row>
    <row r="66" spans="2:12">
      <c r="B66" s="308"/>
      <c r="C66" s="166" t="s">
        <v>189</v>
      </c>
      <c r="D66" s="167"/>
      <c r="E66" s="168"/>
      <c r="F66" s="168"/>
      <c r="G66" s="168"/>
      <c r="H66" s="168"/>
      <c r="I66" s="167"/>
      <c r="J66" s="261"/>
      <c r="K66" s="267">
        <f>-K65*K64</f>
        <v>-0.19999999999999998</v>
      </c>
      <c r="L66" s="267">
        <f>-L65*L64</f>
        <v>-0.19999999999999998</v>
      </c>
    </row>
    <row r="67" spans="2:12">
      <c r="B67" s="309" t="s">
        <v>202</v>
      </c>
      <c r="C67" s="157" t="s">
        <v>231</v>
      </c>
      <c r="D67" s="163" t="b">
        <v>0</v>
      </c>
      <c r="E67" s="163" t="b">
        <v>0</v>
      </c>
      <c r="F67" s="163" t="b">
        <v>0</v>
      </c>
      <c r="G67" s="163" t="b">
        <v>0</v>
      </c>
      <c r="H67" s="163" t="b">
        <v>0</v>
      </c>
      <c r="I67" s="163" t="b">
        <v>0</v>
      </c>
      <c r="J67" s="263" t="b">
        <v>0</v>
      </c>
      <c r="K67" s="163" t="b">
        <v>0</v>
      </c>
      <c r="L67" s="264" t="b">
        <v>1</v>
      </c>
    </row>
    <row r="68" spans="2:12">
      <c r="B68" s="310"/>
      <c r="C68" s="162" t="s">
        <v>214</v>
      </c>
      <c r="D68" s="164"/>
      <c r="E68" s="165"/>
      <c r="F68" s="165"/>
      <c r="G68" s="165"/>
      <c r="H68" s="165"/>
      <c r="I68" s="176"/>
      <c r="J68" s="257"/>
      <c r="K68" s="176"/>
      <c r="L68" s="258">
        <f>5/10</f>
        <v>0.5</v>
      </c>
    </row>
    <row r="69" spans="2:12">
      <c r="B69" s="310"/>
      <c r="C69" s="159" t="s">
        <v>120</v>
      </c>
      <c r="D69" s="172"/>
      <c r="E69" s="172"/>
      <c r="F69" s="172"/>
      <c r="G69" s="172"/>
      <c r="H69" s="172"/>
      <c r="I69" s="172"/>
      <c r="J69" s="259"/>
      <c r="K69" s="172"/>
      <c r="L69" s="260">
        <v>0.1</v>
      </c>
    </row>
    <row r="70" spans="2:12" ht="15.75" thickBot="1">
      <c r="B70" s="311"/>
      <c r="C70" s="166" t="s">
        <v>189</v>
      </c>
      <c r="D70" s="167"/>
      <c r="E70" s="168"/>
      <c r="F70" s="168"/>
      <c r="G70" s="168"/>
      <c r="H70" s="168"/>
      <c r="I70" s="167"/>
      <c r="J70" s="268"/>
      <c r="K70" s="285"/>
      <c r="L70" s="270">
        <f>-L69*L68</f>
        <v>-0.05</v>
      </c>
    </row>
  </sheetData>
  <autoFilter ref="D2:L2" xr:uid="{4D6441D9-A1F5-4465-9E96-25FCD3E97049}"/>
  <mergeCells count="19">
    <mergeCell ref="B51:B54"/>
    <mergeCell ref="B55:B58"/>
    <mergeCell ref="B23:B26"/>
    <mergeCell ref="D1:G1"/>
    <mergeCell ref="H1:I1"/>
    <mergeCell ref="J1:L1"/>
    <mergeCell ref="B63:B66"/>
    <mergeCell ref="B67:B70"/>
    <mergeCell ref="B7:B10"/>
    <mergeCell ref="B11:B14"/>
    <mergeCell ref="B35:B38"/>
    <mergeCell ref="B59:B62"/>
    <mergeCell ref="B15:B18"/>
    <mergeCell ref="B19:B22"/>
    <mergeCell ref="B27:B30"/>
    <mergeCell ref="B31:B34"/>
    <mergeCell ref="B39:B42"/>
    <mergeCell ref="B43:B46"/>
    <mergeCell ref="B47:B50"/>
  </mergeCells>
  <conditionalFormatting sqref="D24">
    <cfRule type="expression" dxfId="162" priority="15">
      <formula>D23=FALSE</formula>
    </cfRule>
  </conditionalFormatting>
  <conditionalFormatting sqref="D16:F16">
    <cfRule type="cellIs" dxfId="161" priority="103" operator="equal">
      <formula>TRUE</formula>
    </cfRule>
  </conditionalFormatting>
  <conditionalFormatting sqref="D17:F17">
    <cfRule type="cellIs" dxfId="160" priority="101" operator="equal">
      <formula>TRUE</formula>
    </cfRule>
  </conditionalFormatting>
  <conditionalFormatting sqref="D18:F18">
    <cfRule type="cellIs" dxfId="159" priority="99" operator="equal">
      <formula>TRUE</formula>
    </cfRule>
  </conditionalFormatting>
  <conditionalFormatting sqref="D28:F30 H28:L30">
    <cfRule type="cellIs" dxfId="158" priority="131" operator="equal">
      <formula>TRUE</formula>
    </cfRule>
  </conditionalFormatting>
  <conditionalFormatting sqref="D32:F34 D40:G42 D44:H46 D48:H50 D63:J66 D51:I54 D56:I58 D60:I62 D68:K70 D36:G38 D7:L8 D11:L11 D12:H13 D15:L15 D19:L19 D31:L31 D35:L35 D39:L39 D43:L43 D47:L47 D55:L55 D59:L59 D67:L67">
    <cfRule type="cellIs" dxfId="157" priority="139" operator="equal">
      <formula>TRUE</formula>
    </cfRule>
  </conditionalFormatting>
  <conditionalFormatting sqref="D14:H14">
    <cfRule type="cellIs" dxfId="156" priority="143" operator="equal">
      <formula>TRUE</formula>
    </cfRule>
  </conditionalFormatting>
  <conditionalFormatting sqref="D7:L7 D11:L11 D15:L15 D19:L19 D27:L27 D31:L31 D35:L35 D39:L39 D43:L43 D47:L47 D55:L55 D59:L59 D63:L63 D67:L67">
    <cfRule type="cellIs" dxfId="155" priority="267" operator="equal">
      <formula>FALSE</formula>
    </cfRule>
  </conditionalFormatting>
  <conditionalFormatting sqref="D7:L7 D11:L11 D15:L15 D19:L19 D31:L31 D35:L35 D39:L39 D43:L43 D47:L47 D51:I51 D55:L55 D59:L59 D63:L63 D67:L67 D27:L27">
    <cfRule type="expression" dxfId="154" priority="268">
      <formula>FALSE</formula>
    </cfRule>
  </conditionalFormatting>
  <conditionalFormatting sqref="D9:L9">
    <cfRule type="cellIs" dxfId="153" priority="200" operator="equal">
      <formula>TRUE</formula>
    </cfRule>
    <cfRule type="expression" dxfId="152" priority="199">
      <formula>D7=FALSE</formula>
    </cfRule>
  </conditionalFormatting>
  <conditionalFormatting sqref="D10:L10">
    <cfRule type="cellIs" dxfId="151" priority="202" operator="equal">
      <formula>TRUE</formula>
    </cfRule>
    <cfRule type="expression" dxfId="150" priority="201">
      <formula>D7=FALSE</formula>
    </cfRule>
  </conditionalFormatting>
  <conditionalFormatting sqref="D12:L12 D20 D8:L8 D32:F32 D36:G36 D40:G40 D44:H44 D48:H48 D52:I52 D56:I56 D60:I60 D64:J64 D68:K68">
    <cfRule type="expression" dxfId="149" priority="269">
      <formula>D7=FALSE</formula>
    </cfRule>
  </conditionalFormatting>
  <conditionalFormatting sqref="D13:L13 D33:F33 D37:G37 D41:G41 D45:H45 D49:H49 D53:I53 D57:I57 D61:I61 D65:J65 D69:K69 D29:F29">
    <cfRule type="expression" dxfId="148" priority="140">
      <formula>D11=FALSE</formula>
    </cfRule>
  </conditionalFormatting>
  <conditionalFormatting sqref="D14:L14">
    <cfRule type="expression" dxfId="147" priority="142">
      <formula>D11=FALSE</formula>
    </cfRule>
  </conditionalFormatting>
  <conditionalFormatting sqref="D16:L16">
    <cfRule type="expression" dxfId="146" priority="102">
      <formula>D15=FALSE</formula>
    </cfRule>
  </conditionalFormatting>
  <conditionalFormatting sqref="D17:L17">
    <cfRule type="expression" dxfId="145" priority="100">
      <formula>D15=FALSE</formula>
    </cfRule>
  </conditionalFormatting>
  <conditionalFormatting sqref="D18:L18">
    <cfRule type="expression" dxfId="144" priority="98">
      <formula>D15=FALSE</formula>
    </cfRule>
  </conditionalFormatting>
  <conditionalFormatting sqref="D21:L21">
    <cfRule type="expression" dxfId="143" priority="94">
      <formula>D19=FALSE</formula>
    </cfRule>
  </conditionalFormatting>
  <conditionalFormatting sqref="D22:L22 D26:L26">
    <cfRule type="expression" dxfId="142" priority="92">
      <formula>D19=FALSE</formula>
    </cfRule>
  </conditionalFormatting>
  <conditionalFormatting sqref="D23:L23">
    <cfRule type="expression" dxfId="141" priority="14">
      <formula>FALSE</formula>
    </cfRule>
    <cfRule type="cellIs" dxfId="140" priority="7" operator="equal">
      <formula>TRUE</formula>
    </cfRule>
    <cfRule type="cellIs" dxfId="139" priority="13" operator="equal">
      <formula>FALSE</formula>
    </cfRule>
  </conditionalFormatting>
  <conditionalFormatting sqref="D25:L25">
    <cfRule type="expression" dxfId="138" priority="3">
      <formula>D23=FALSE</formula>
    </cfRule>
  </conditionalFormatting>
  <conditionalFormatting sqref="D28:L28">
    <cfRule type="expression" dxfId="137" priority="90">
      <formula>D27=FALSE</formula>
    </cfRule>
  </conditionalFormatting>
  <conditionalFormatting sqref="D30:L30">
    <cfRule type="expression" dxfId="136" priority="86">
      <formula>D27=FALSE</formula>
    </cfRule>
  </conditionalFormatting>
  <conditionalFormatting sqref="D34:L34">
    <cfRule type="expression" dxfId="135" priority="80">
      <formula>D31=FALSE</formula>
    </cfRule>
  </conditionalFormatting>
  <conditionalFormatting sqref="D38:L38">
    <cfRule type="expression" dxfId="134" priority="1">
      <formula>D35=FALSE</formula>
    </cfRule>
  </conditionalFormatting>
  <conditionalFormatting sqref="D42:L42">
    <cfRule type="expression" dxfId="133" priority="68">
      <formula>D39=FALSE</formula>
    </cfRule>
  </conditionalFormatting>
  <conditionalFormatting sqref="D46:L46">
    <cfRule type="expression" dxfId="132" priority="56">
      <formula>D43=FALSE</formula>
    </cfRule>
  </conditionalFormatting>
  <conditionalFormatting sqref="D50:L50">
    <cfRule type="expression" dxfId="131" priority="50">
      <formula>D47=FALSE</formula>
    </cfRule>
  </conditionalFormatting>
  <conditionalFormatting sqref="D51:L51">
    <cfRule type="cellIs" dxfId="130" priority="40" operator="equal">
      <formula>FALSE</formula>
    </cfRule>
  </conditionalFormatting>
  <conditionalFormatting sqref="D54:L54">
    <cfRule type="expression" dxfId="129" priority="38">
      <formula>D51=FALSE</formula>
    </cfRule>
  </conditionalFormatting>
  <conditionalFormatting sqref="D58:L58">
    <cfRule type="expression" dxfId="128" priority="32">
      <formula>D55=FALSE</formula>
    </cfRule>
  </conditionalFormatting>
  <conditionalFormatting sqref="D62:L62">
    <cfRule type="expression" dxfId="127" priority="26">
      <formula>D59=FALSE</formula>
    </cfRule>
  </conditionalFormatting>
  <conditionalFormatting sqref="D66:L66">
    <cfRule type="expression" dxfId="126" priority="44">
      <formula>D63=FALSE</formula>
    </cfRule>
  </conditionalFormatting>
  <conditionalFormatting sqref="D70:L70">
    <cfRule type="expression" dxfId="125" priority="18">
      <formula>D67=FALSE</formula>
    </cfRule>
  </conditionalFormatting>
  <conditionalFormatting sqref="E20:F20">
    <cfRule type="cellIs" dxfId="124" priority="97" operator="equal">
      <formula>TRUE</formula>
    </cfRule>
  </conditionalFormatting>
  <conditionalFormatting sqref="E21:F21">
    <cfRule type="cellIs" dxfId="123" priority="95" operator="equal">
      <formula>TRUE</formula>
    </cfRule>
  </conditionalFormatting>
  <conditionalFormatting sqref="E22:F22 D26:L27">
    <cfRule type="cellIs" dxfId="122" priority="93" operator="equal">
      <formula>TRUE</formula>
    </cfRule>
  </conditionalFormatting>
  <conditionalFormatting sqref="E24:F24">
    <cfRule type="cellIs" dxfId="121" priority="6" operator="equal">
      <formula>TRUE</formula>
    </cfRule>
  </conditionalFormatting>
  <conditionalFormatting sqref="E25:F25">
    <cfRule type="cellIs" dxfId="120" priority="4" operator="equal">
      <formula>TRUE</formula>
    </cfRule>
  </conditionalFormatting>
  <conditionalFormatting sqref="E20:L20">
    <cfRule type="expression" dxfId="119" priority="96">
      <formula>E19=FALSE</formula>
    </cfRule>
  </conditionalFormatting>
  <conditionalFormatting sqref="E24:L24">
    <cfRule type="expression" dxfId="118" priority="5">
      <formula>E23=FALSE</formula>
    </cfRule>
  </conditionalFormatting>
  <conditionalFormatting sqref="G28">
    <cfRule type="cellIs" dxfId="117" priority="91" operator="equal">
      <formula>TRUE</formula>
    </cfRule>
  </conditionalFormatting>
  <conditionalFormatting sqref="G29">
    <cfRule type="cellIs" dxfId="116" priority="89" operator="equal">
      <formula>TRUE</formula>
    </cfRule>
  </conditionalFormatting>
  <conditionalFormatting sqref="G30">
    <cfRule type="cellIs" dxfId="115" priority="87" operator="equal">
      <formula>TRUE</formula>
    </cfRule>
  </conditionalFormatting>
  <conditionalFormatting sqref="G32">
    <cfRule type="cellIs" dxfId="114" priority="85" operator="equal">
      <formula>TRUE</formula>
    </cfRule>
  </conditionalFormatting>
  <conditionalFormatting sqref="G33">
    <cfRule type="cellIs" dxfId="113" priority="83" operator="equal">
      <formula>TRUE</formula>
    </cfRule>
  </conditionalFormatting>
  <conditionalFormatting sqref="G34">
    <cfRule type="cellIs" dxfId="112" priority="81" operator="equal">
      <formula>TRUE</formula>
    </cfRule>
  </conditionalFormatting>
  <conditionalFormatting sqref="G16:L18">
    <cfRule type="cellIs" dxfId="111" priority="133" operator="equal">
      <formula>TRUE</formula>
    </cfRule>
  </conditionalFormatting>
  <conditionalFormatting sqref="G24:L25 D24:D25">
    <cfRule type="cellIs" dxfId="110" priority="10" operator="equal">
      <formula>TRUE</formula>
    </cfRule>
  </conditionalFormatting>
  <conditionalFormatting sqref="G29:L29">
    <cfRule type="expression" dxfId="109" priority="88">
      <formula>G27=FALSE</formula>
    </cfRule>
  </conditionalFormatting>
  <conditionalFormatting sqref="G32:L32">
    <cfRule type="expression" dxfId="108" priority="84">
      <formula>G31=FALSE</formula>
    </cfRule>
  </conditionalFormatting>
  <conditionalFormatting sqref="G33:L33">
    <cfRule type="expression" dxfId="107" priority="82">
      <formula>G31=FALSE</formula>
    </cfRule>
  </conditionalFormatting>
  <conditionalFormatting sqref="H36">
    <cfRule type="cellIs" dxfId="106" priority="79" operator="equal">
      <formula>TRUE</formula>
    </cfRule>
  </conditionalFormatting>
  <conditionalFormatting sqref="H37">
    <cfRule type="cellIs" dxfId="105" priority="77" operator="equal">
      <formula>TRUE</formula>
    </cfRule>
  </conditionalFormatting>
  <conditionalFormatting sqref="H38">
    <cfRule type="cellIs" dxfId="104" priority="2" operator="equal">
      <formula>TRUE</formula>
    </cfRule>
  </conditionalFormatting>
  <conditionalFormatting sqref="H40">
    <cfRule type="cellIs" dxfId="103" priority="73" operator="equal">
      <formula>TRUE</formula>
    </cfRule>
  </conditionalFormatting>
  <conditionalFormatting sqref="H41">
    <cfRule type="cellIs" dxfId="102" priority="71" operator="equal">
      <formula>TRUE</formula>
    </cfRule>
  </conditionalFormatting>
  <conditionalFormatting sqref="H42">
    <cfRule type="cellIs" dxfId="101" priority="69" operator="equal">
      <formula>TRUE</formula>
    </cfRule>
  </conditionalFormatting>
  <conditionalFormatting sqref="H36:L36">
    <cfRule type="expression" dxfId="100" priority="78">
      <formula>H35=FALSE</formula>
    </cfRule>
  </conditionalFormatting>
  <conditionalFormatting sqref="H37:L37">
    <cfRule type="expression" dxfId="99" priority="76">
      <formula>H35=FALSE</formula>
    </cfRule>
  </conditionalFormatting>
  <conditionalFormatting sqref="H40:L40">
    <cfRule type="expression" dxfId="98" priority="72">
      <formula>H39=FALSE</formula>
    </cfRule>
  </conditionalFormatting>
  <conditionalFormatting sqref="H41:L41">
    <cfRule type="expression" dxfId="97" priority="70">
      <formula>H39=FALSE</formula>
    </cfRule>
  </conditionalFormatting>
  <conditionalFormatting sqref="I44">
    <cfRule type="cellIs" dxfId="96" priority="61" operator="equal">
      <formula>TRUE</formula>
    </cfRule>
  </conditionalFormatting>
  <conditionalFormatting sqref="I45">
    <cfRule type="cellIs" dxfId="95" priority="59" operator="equal">
      <formula>TRUE</formula>
    </cfRule>
  </conditionalFormatting>
  <conditionalFormatting sqref="I46">
    <cfRule type="cellIs" dxfId="94" priority="57" operator="equal">
      <formula>TRUE</formula>
    </cfRule>
  </conditionalFormatting>
  <conditionalFormatting sqref="I48">
    <cfRule type="cellIs" dxfId="93" priority="55" operator="equal">
      <formula>TRUE</formula>
    </cfRule>
  </conditionalFormatting>
  <conditionalFormatting sqref="I49">
    <cfRule type="cellIs" dxfId="92" priority="53" operator="equal">
      <formula>TRUE</formula>
    </cfRule>
  </conditionalFormatting>
  <conditionalFormatting sqref="I50">
    <cfRule type="cellIs" dxfId="91" priority="51" operator="equal">
      <formula>TRUE</formula>
    </cfRule>
  </conditionalFormatting>
  <conditionalFormatting sqref="I12:L14 G20:L22 D20:D22 H32:L34 I36:L38 I40:L42 J44:L46 J48:L50 L51:L54 L56:L58 L60:L62">
    <cfRule type="cellIs" dxfId="90" priority="176" operator="equal">
      <formula>TRUE</formula>
    </cfRule>
  </conditionalFormatting>
  <conditionalFormatting sqref="I44:L44">
    <cfRule type="expression" dxfId="89" priority="60">
      <formula>I43=FALSE</formula>
    </cfRule>
  </conditionalFormatting>
  <conditionalFormatting sqref="I45:L45">
    <cfRule type="expression" dxfId="88" priority="58">
      <formula>I43=FALSE</formula>
    </cfRule>
  </conditionalFormatting>
  <conditionalFormatting sqref="I48:L48">
    <cfRule type="expression" dxfId="87" priority="54">
      <formula>I47=FALSE</formula>
    </cfRule>
  </conditionalFormatting>
  <conditionalFormatting sqref="I49:L49">
    <cfRule type="expression" dxfId="86" priority="52">
      <formula>I47=FALSE</formula>
    </cfRule>
  </conditionalFormatting>
  <conditionalFormatting sqref="J51:K52">
    <cfRule type="cellIs" dxfId="85" priority="43" operator="equal">
      <formula>TRUE</formula>
    </cfRule>
  </conditionalFormatting>
  <conditionalFormatting sqref="J53:K53">
    <cfRule type="cellIs" dxfId="84" priority="37" operator="equal">
      <formula>TRUE</formula>
    </cfRule>
  </conditionalFormatting>
  <conditionalFormatting sqref="J54:K54">
    <cfRule type="cellIs" dxfId="83" priority="39" operator="equal">
      <formula>TRUE</formula>
    </cfRule>
  </conditionalFormatting>
  <conditionalFormatting sqref="J56:K56">
    <cfRule type="cellIs" dxfId="82" priority="35" operator="equal">
      <formula>TRUE</formula>
    </cfRule>
  </conditionalFormatting>
  <conditionalFormatting sqref="J57:K57">
    <cfRule type="cellIs" dxfId="81" priority="31" operator="equal">
      <formula>TRUE</formula>
    </cfRule>
  </conditionalFormatting>
  <conditionalFormatting sqref="J58:K58">
    <cfRule type="cellIs" dxfId="80" priority="33" operator="equal">
      <formula>TRUE</formula>
    </cfRule>
  </conditionalFormatting>
  <conditionalFormatting sqref="J60:K60">
    <cfRule type="cellIs" dxfId="79" priority="29" operator="equal">
      <formula>TRUE</formula>
    </cfRule>
  </conditionalFormatting>
  <conditionalFormatting sqref="J61:K61">
    <cfRule type="cellIs" dxfId="78" priority="25" operator="equal">
      <formula>TRUE</formula>
    </cfRule>
  </conditionalFormatting>
  <conditionalFormatting sqref="J62:K62">
    <cfRule type="cellIs" dxfId="77" priority="27" operator="equal">
      <formula>TRUE</formula>
    </cfRule>
  </conditionalFormatting>
  <conditionalFormatting sqref="J51:L51">
    <cfRule type="expression" dxfId="76" priority="41">
      <formula>FALSE</formula>
    </cfRule>
  </conditionalFormatting>
  <conditionalFormatting sqref="J52:L52">
    <cfRule type="expression" dxfId="75" priority="42">
      <formula>J51=FALSE</formula>
    </cfRule>
  </conditionalFormatting>
  <conditionalFormatting sqref="J53:L53">
    <cfRule type="expression" dxfId="74" priority="36">
      <formula>J51=FALSE</formula>
    </cfRule>
  </conditionalFormatting>
  <conditionalFormatting sqref="J56:L56">
    <cfRule type="expression" dxfId="73" priority="34">
      <formula>J55=FALSE</formula>
    </cfRule>
  </conditionalFormatting>
  <conditionalFormatting sqref="J57:L57">
    <cfRule type="expression" dxfId="72" priority="30">
      <formula>J55=FALSE</formula>
    </cfRule>
  </conditionalFormatting>
  <conditionalFormatting sqref="J60:L60">
    <cfRule type="expression" dxfId="71" priority="28">
      <formula>J59=FALSE</formula>
    </cfRule>
  </conditionalFormatting>
  <conditionalFormatting sqref="J61:L61">
    <cfRule type="expression" dxfId="70" priority="24">
      <formula>J59=FALSE</formula>
    </cfRule>
  </conditionalFormatting>
  <conditionalFormatting sqref="K63:L64">
    <cfRule type="cellIs" dxfId="69" priority="49" operator="equal">
      <formula>TRUE</formula>
    </cfRule>
  </conditionalFormatting>
  <conditionalFormatting sqref="K64:L64">
    <cfRule type="expression" dxfId="68" priority="48">
      <formula>K63=FALSE</formula>
    </cfRule>
  </conditionalFormatting>
  <conditionalFormatting sqref="K65:L65">
    <cfRule type="cellIs" dxfId="67" priority="47" operator="equal">
      <formula>TRUE</formula>
    </cfRule>
    <cfRule type="expression" dxfId="66" priority="46">
      <formula>K63=FALSE</formula>
    </cfRule>
  </conditionalFormatting>
  <conditionalFormatting sqref="K66:L66">
    <cfRule type="cellIs" dxfId="65" priority="45" operator="equal">
      <formula>TRUE</formula>
    </cfRule>
  </conditionalFormatting>
  <conditionalFormatting sqref="L68">
    <cfRule type="cellIs" dxfId="64" priority="23" operator="equal">
      <formula>TRUE</formula>
    </cfRule>
    <cfRule type="expression" dxfId="63" priority="22">
      <formula>L67=FALSE</formula>
    </cfRule>
  </conditionalFormatting>
  <conditionalFormatting sqref="L69">
    <cfRule type="cellIs" dxfId="62" priority="21" operator="equal">
      <formula>TRUE</formula>
    </cfRule>
    <cfRule type="expression" dxfId="61" priority="20">
      <formula>L67=FALSE</formula>
    </cfRule>
  </conditionalFormatting>
  <conditionalFormatting sqref="L70">
    <cfRule type="cellIs" dxfId="60" priority="19" operator="equal">
      <formula>TRUE</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18B0-5249-4C1E-BAF8-4625DBECA257}">
  <dimension ref="B1:F37"/>
  <sheetViews>
    <sheetView showGridLines="0" workbookViewId="0">
      <selection activeCell="I15" sqref="I3:I15"/>
    </sheetView>
  </sheetViews>
  <sheetFormatPr defaultRowHeight="15"/>
  <cols>
    <col min="2" max="2" width="31.28515625" bestFit="1" customWidth="1"/>
    <col min="3" max="3" width="17" bestFit="1" customWidth="1"/>
    <col min="4" max="4" width="27.85546875" customWidth="1"/>
    <col min="5" max="5" width="27.85546875" hidden="1" customWidth="1"/>
    <col min="6" max="6" width="27.85546875" customWidth="1"/>
    <col min="9" max="9" width="27.5703125" bestFit="1" customWidth="1"/>
  </cols>
  <sheetData>
    <row r="1" spans="2:6">
      <c r="C1" s="143" t="s">
        <v>232</v>
      </c>
      <c r="D1" s="160" t="s">
        <v>11</v>
      </c>
      <c r="E1" s="174" t="s">
        <v>0</v>
      </c>
      <c r="F1" s="158" t="s">
        <v>155</v>
      </c>
    </row>
    <row r="2" spans="2:6">
      <c r="C2" s="161" t="s">
        <v>113</v>
      </c>
      <c r="D2" s="178">
        <v>45</v>
      </c>
      <c r="E2" s="179">
        <v>0.1</v>
      </c>
      <c r="F2" s="179">
        <v>0</v>
      </c>
    </row>
    <row r="3" spans="2:6">
      <c r="C3" s="161" t="s">
        <v>181</v>
      </c>
      <c r="D3" s="178">
        <v>30</v>
      </c>
      <c r="E3" s="179">
        <v>0.15</v>
      </c>
      <c r="F3" s="179" t="s">
        <v>233</v>
      </c>
    </row>
    <row r="4" spans="2:6">
      <c r="C4" s="161" t="s">
        <v>188</v>
      </c>
      <c r="D4" s="178">
        <f>D2+(D2*D5)</f>
        <v>32.625</v>
      </c>
      <c r="E4" s="179">
        <f>E2*(1+E5)</f>
        <v>0.10164000000000001</v>
      </c>
      <c r="F4" s="179">
        <f>F2+F5</f>
        <v>-0.2</v>
      </c>
    </row>
    <row r="5" spans="2:6">
      <c r="B5" s="142" t="s">
        <v>128</v>
      </c>
      <c r="C5" s="161" t="s">
        <v>180</v>
      </c>
      <c r="D5" s="175">
        <f>SUM(D9,D13,D17,D21,D25,D29)</f>
        <v>-0.27499999999999997</v>
      </c>
      <c r="E5" s="175">
        <f t="shared" ref="E5" si="0">SUM(E9,E13,E17,E21,E25,E29)</f>
        <v>1.6399999999999998E-2</v>
      </c>
      <c r="F5" s="275">
        <f>SUM(F9,F13,F17,F21,F25,F29,F33,F37)</f>
        <v>-0.2</v>
      </c>
    </row>
    <row r="6" spans="2:6">
      <c r="B6" s="276" t="s">
        <v>53</v>
      </c>
      <c r="C6" s="157" t="s">
        <v>234</v>
      </c>
      <c r="D6" s="163" t="b">
        <v>1</v>
      </c>
      <c r="E6" s="163" t="b">
        <v>1</v>
      </c>
      <c r="F6" s="163" t="b">
        <v>0</v>
      </c>
    </row>
    <row r="7" spans="2:6">
      <c r="B7" s="276"/>
      <c r="C7" s="162" t="s">
        <v>214</v>
      </c>
      <c r="D7" s="176">
        <v>0.7</v>
      </c>
      <c r="E7" s="176">
        <v>0.4</v>
      </c>
      <c r="F7" s="165"/>
    </row>
    <row r="8" spans="2:6">
      <c r="B8" s="276"/>
      <c r="C8" s="159" t="s">
        <v>120</v>
      </c>
      <c r="D8" s="172">
        <f>'Relationships (L2 impacting L1)'!D3</f>
        <v>-0.25</v>
      </c>
      <c r="E8" s="172">
        <f>'Relationships (L2 impacting L1)'!D3</f>
        <v>-0.25</v>
      </c>
      <c r="F8" s="172"/>
    </row>
    <row r="9" spans="2:6">
      <c r="B9" s="276"/>
      <c r="C9" s="166" t="s">
        <v>189</v>
      </c>
      <c r="D9" s="189">
        <f>D8*D7</f>
        <v>-0.17499999999999999</v>
      </c>
      <c r="E9" s="171">
        <f>-E8*E7</f>
        <v>0.1</v>
      </c>
      <c r="F9" s="168"/>
    </row>
    <row r="10" spans="2:6">
      <c r="B10" s="277" t="s">
        <v>59</v>
      </c>
      <c r="C10" s="157" t="s">
        <v>235</v>
      </c>
      <c r="D10" s="163" t="b">
        <v>0</v>
      </c>
      <c r="E10" s="163" t="b">
        <v>0</v>
      </c>
      <c r="F10" s="163" t="b">
        <v>0</v>
      </c>
    </row>
    <row r="11" spans="2:6">
      <c r="B11" s="277"/>
      <c r="C11" s="162" t="s">
        <v>214</v>
      </c>
      <c r="D11" s="176"/>
      <c r="E11" s="169"/>
      <c r="F11" s="165"/>
    </row>
    <row r="12" spans="2:6">
      <c r="B12" s="277"/>
      <c r="C12" s="159" t="s">
        <v>120</v>
      </c>
      <c r="D12" s="172"/>
      <c r="E12" s="173"/>
      <c r="F12" s="172"/>
    </row>
    <row r="13" spans="2:6">
      <c r="B13" s="277"/>
      <c r="C13" s="166" t="s">
        <v>189</v>
      </c>
      <c r="D13" s="189"/>
      <c r="E13" s="171"/>
      <c r="F13" s="168"/>
    </row>
    <row r="14" spans="2:6">
      <c r="B14" s="277" t="s">
        <v>191</v>
      </c>
      <c r="C14" s="157" t="s">
        <v>218</v>
      </c>
      <c r="D14" s="163" t="b">
        <v>1</v>
      </c>
      <c r="E14" s="163" t="b">
        <v>1</v>
      </c>
      <c r="F14" s="163" t="b">
        <v>0</v>
      </c>
    </row>
    <row r="15" spans="2:6">
      <c r="B15" s="277"/>
      <c r="C15" s="162" t="s">
        <v>214</v>
      </c>
      <c r="D15" s="176">
        <v>0.6</v>
      </c>
      <c r="E15" s="176">
        <v>0.3</v>
      </c>
      <c r="F15" s="164"/>
    </row>
    <row r="16" spans="2:6">
      <c r="B16" s="277"/>
      <c r="C16" s="159" t="s">
        <v>120</v>
      </c>
      <c r="D16" s="172">
        <f>'Relationships (L2 impacting L1)'!F3</f>
        <v>-0.16666666666666666</v>
      </c>
      <c r="E16" s="173">
        <f>'Relationships (L2 impacting L1)'!H3</f>
        <v>0.11200000000000002</v>
      </c>
      <c r="F16" s="172"/>
    </row>
    <row r="17" spans="2:6">
      <c r="B17" s="277"/>
      <c r="C17" s="166" t="s">
        <v>189</v>
      </c>
      <c r="D17" s="189">
        <f>D16*D15</f>
        <v>-9.9999999999999992E-2</v>
      </c>
      <c r="E17" s="171">
        <f>-E16*E15</f>
        <v>-3.3600000000000005E-2</v>
      </c>
      <c r="F17" s="171"/>
    </row>
    <row r="18" spans="2:6">
      <c r="B18" s="277" t="s">
        <v>204</v>
      </c>
      <c r="C18" s="157" t="s">
        <v>236</v>
      </c>
      <c r="D18" s="163" t="b">
        <v>0</v>
      </c>
      <c r="E18" s="163" t="b">
        <v>0</v>
      </c>
      <c r="F18" s="163" t="b">
        <v>1</v>
      </c>
    </row>
    <row r="19" spans="2:6">
      <c r="B19" s="277"/>
      <c r="C19" s="162" t="s">
        <v>214</v>
      </c>
      <c r="D19" s="164"/>
      <c r="E19" s="164"/>
      <c r="F19" s="176">
        <v>0.4</v>
      </c>
    </row>
    <row r="20" spans="2:6">
      <c r="B20" s="277"/>
      <c r="C20" s="159" t="s">
        <v>120</v>
      </c>
      <c r="D20" s="172"/>
      <c r="E20" s="172"/>
      <c r="F20" s="172">
        <f>'Relationships (L2 impacting L1)'!G3</f>
        <v>-0.25</v>
      </c>
    </row>
    <row r="21" spans="2:6">
      <c r="B21" s="277"/>
      <c r="C21" s="166" t="s">
        <v>189</v>
      </c>
      <c r="D21" s="167"/>
      <c r="E21" s="171"/>
      <c r="F21" s="189">
        <f>F20*F19</f>
        <v>-0.1</v>
      </c>
    </row>
    <row r="22" spans="2:6">
      <c r="B22" s="278" t="s">
        <v>41</v>
      </c>
      <c r="C22" s="157" t="s">
        <v>237</v>
      </c>
      <c r="D22" s="163" t="b">
        <v>0</v>
      </c>
      <c r="E22" s="163" t="b">
        <v>1</v>
      </c>
      <c r="F22" s="163" t="b">
        <v>0</v>
      </c>
    </row>
    <row r="23" spans="2:6">
      <c r="B23" s="278"/>
      <c r="C23" s="162" t="s">
        <v>214</v>
      </c>
      <c r="D23" s="176"/>
      <c r="E23" s="176">
        <v>0.5</v>
      </c>
      <c r="F23" s="176"/>
    </row>
    <row r="24" spans="2:6">
      <c r="B24" s="278"/>
      <c r="C24" s="159" t="s">
        <v>120</v>
      </c>
      <c r="D24" s="172"/>
      <c r="E24" s="173">
        <f>'Relationships (L2 impacting L1)'!J3</f>
        <v>-0.1</v>
      </c>
      <c r="F24" s="173"/>
    </row>
    <row r="25" spans="2:6">
      <c r="B25" s="278"/>
      <c r="C25" s="166" t="s">
        <v>189</v>
      </c>
      <c r="D25" s="189"/>
      <c r="E25" s="167">
        <f>E23*E24</f>
        <v>-0.05</v>
      </c>
      <c r="F25" s="189"/>
    </row>
    <row r="26" spans="2:6">
      <c r="B26" s="279" t="s">
        <v>46</v>
      </c>
      <c r="C26" s="157" t="s">
        <v>238</v>
      </c>
      <c r="D26" s="163" t="b">
        <v>0</v>
      </c>
      <c r="E26" s="163" t="b">
        <v>0</v>
      </c>
      <c r="F26" s="163" t="b">
        <v>0</v>
      </c>
    </row>
    <row r="27" spans="2:6">
      <c r="B27" s="280"/>
      <c r="C27" s="162" t="s">
        <v>214</v>
      </c>
      <c r="D27" s="164"/>
      <c r="E27" s="169"/>
      <c r="F27" s="176"/>
    </row>
    <row r="28" spans="2:6">
      <c r="B28" s="280"/>
      <c r="C28" s="159" t="s">
        <v>120</v>
      </c>
      <c r="D28" s="172"/>
      <c r="E28" s="173"/>
      <c r="F28" s="172"/>
    </row>
    <row r="29" spans="2:6">
      <c r="B29" s="280"/>
      <c r="C29" s="166" t="s">
        <v>189</v>
      </c>
      <c r="D29" s="167"/>
      <c r="E29" s="170"/>
      <c r="F29" s="189"/>
    </row>
    <row r="30" spans="2:6">
      <c r="B30" s="282" t="s">
        <v>12</v>
      </c>
      <c r="C30" s="157" t="s">
        <v>176</v>
      </c>
      <c r="D30" s="163" t="b">
        <v>1</v>
      </c>
      <c r="E30" s="163" t="b">
        <v>0</v>
      </c>
      <c r="F30" s="163" t="b">
        <v>0</v>
      </c>
    </row>
    <row r="31" spans="2:6">
      <c r="B31" s="283"/>
      <c r="C31" s="162" t="s">
        <v>214</v>
      </c>
      <c r="D31" s="176">
        <v>0.3</v>
      </c>
      <c r="E31" s="169"/>
      <c r="F31" s="176"/>
    </row>
    <row r="32" spans="2:6">
      <c r="B32" s="283"/>
      <c r="C32" s="159" t="s">
        <v>120</v>
      </c>
      <c r="D32" s="172">
        <v>0.15</v>
      </c>
      <c r="E32" s="173"/>
      <c r="F32" s="172"/>
    </row>
    <row r="33" spans="2:6">
      <c r="B33" s="283"/>
      <c r="C33" s="166" t="s">
        <v>189</v>
      </c>
      <c r="D33" s="189">
        <f>-D32*D31</f>
        <v>-4.4999999999999998E-2</v>
      </c>
      <c r="E33" s="170"/>
      <c r="F33" s="189"/>
    </row>
    <row r="34" spans="2:6">
      <c r="B34" s="282" t="s">
        <v>206</v>
      </c>
      <c r="C34" s="157" t="s">
        <v>239</v>
      </c>
      <c r="D34" s="163" t="b">
        <v>0</v>
      </c>
      <c r="E34" s="163" t="b">
        <v>0</v>
      </c>
      <c r="F34" s="163" t="b">
        <v>1</v>
      </c>
    </row>
    <row r="35" spans="2:6">
      <c r="B35" s="283"/>
      <c r="C35" s="162" t="s">
        <v>214</v>
      </c>
      <c r="D35" s="164"/>
      <c r="E35" s="169"/>
      <c r="F35" s="176">
        <v>0.4</v>
      </c>
    </row>
    <row r="36" spans="2:6">
      <c r="B36" s="283"/>
      <c r="C36" s="159" t="s">
        <v>120</v>
      </c>
      <c r="D36" s="172"/>
      <c r="E36" s="173"/>
      <c r="F36" s="172">
        <f>'Relationships (L2 impacting L1)'!L3</f>
        <v>-0.25</v>
      </c>
    </row>
    <row r="37" spans="2:6">
      <c r="B37" s="283"/>
      <c r="C37" s="166" t="s">
        <v>189</v>
      </c>
      <c r="D37" s="167"/>
      <c r="E37" s="170"/>
      <c r="F37" s="189">
        <f>F36*F35</f>
        <v>-0.1</v>
      </c>
    </row>
  </sheetData>
  <conditionalFormatting sqref="D15">
    <cfRule type="cellIs" dxfId="59" priority="24" operator="equal">
      <formula>TRUE</formula>
    </cfRule>
  </conditionalFormatting>
  <conditionalFormatting sqref="D16">
    <cfRule type="cellIs" dxfId="58" priority="20" operator="equal">
      <formula>TRUE</formula>
    </cfRule>
  </conditionalFormatting>
  <conditionalFormatting sqref="D17">
    <cfRule type="cellIs" dxfId="57" priority="22" operator="equal">
      <formula>TRUE</formula>
    </cfRule>
  </conditionalFormatting>
  <conditionalFormatting sqref="D31">
    <cfRule type="cellIs" dxfId="56" priority="18" operator="equal">
      <formula>TRUE</formula>
    </cfRule>
  </conditionalFormatting>
  <conditionalFormatting sqref="D32">
    <cfRule type="cellIs" dxfId="55" priority="14" operator="equal">
      <formula>TRUE</formula>
    </cfRule>
  </conditionalFormatting>
  <conditionalFormatting sqref="D33">
    <cfRule type="cellIs" dxfId="54" priority="16" operator="equal">
      <formula>TRUE</formula>
    </cfRule>
  </conditionalFormatting>
  <conditionalFormatting sqref="D19:E21">
    <cfRule type="cellIs" dxfId="53" priority="92" operator="equal">
      <formula>TRUE</formula>
    </cfRule>
  </conditionalFormatting>
  <conditionalFormatting sqref="D35:E37">
    <cfRule type="cellIs" dxfId="52" priority="68" operator="equal">
      <formula>TRUE</formula>
    </cfRule>
  </conditionalFormatting>
  <conditionalFormatting sqref="D6:F6">
    <cfRule type="cellIs" dxfId="51" priority="110" operator="equal">
      <formula>TRUE</formula>
    </cfRule>
    <cfRule type="expression" dxfId="50" priority="108">
      <formula>FALSE</formula>
    </cfRule>
    <cfRule type="cellIs" dxfId="49" priority="107" operator="equal">
      <formula>FALSE</formula>
    </cfRule>
  </conditionalFormatting>
  <conditionalFormatting sqref="D7:F7">
    <cfRule type="cellIs" dxfId="48" priority="88" operator="equal">
      <formula>TRUE</formula>
    </cfRule>
    <cfRule type="expression" dxfId="47" priority="87">
      <formula>D6=FALSE</formula>
    </cfRule>
  </conditionalFormatting>
  <conditionalFormatting sqref="D8:F8">
    <cfRule type="cellIs" dxfId="46" priority="104" operator="equal">
      <formula>TRUE</formula>
    </cfRule>
    <cfRule type="expression" dxfId="45" priority="103">
      <formula>D6=FALSE</formula>
    </cfRule>
  </conditionalFormatting>
  <conditionalFormatting sqref="D9:F9">
    <cfRule type="cellIs" dxfId="44" priority="56" operator="equal">
      <formula>TRUE</formula>
    </cfRule>
    <cfRule type="expression" dxfId="43" priority="55">
      <formula>D6=FALSE</formula>
    </cfRule>
  </conditionalFormatting>
  <conditionalFormatting sqref="D10:F10 D14:F14 D18:F18 D22:F22 D26:F26">
    <cfRule type="cellIs" dxfId="42" priority="99" operator="equal">
      <formula>FALSE</formula>
    </cfRule>
    <cfRule type="cellIs" dxfId="41" priority="102" operator="equal">
      <formula>TRUE</formula>
    </cfRule>
    <cfRule type="expression" dxfId="40" priority="100">
      <formula>FALSE</formula>
    </cfRule>
  </conditionalFormatting>
  <conditionalFormatting sqref="D11:F11">
    <cfRule type="cellIs" dxfId="39" priority="86" operator="equal">
      <formula>TRUE</formula>
    </cfRule>
    <cfRule type="expression" dxfId="38" priority="85">
      <formula>D10=FALSE</formula>
    </cfRule>
  </conditionalFormatting>
  <conditionalFormatting sqref="D12:F12 D24:F24 D28:F28">
    <cfRule type="cellIs" dxfId="37" priority="96" operator="equal">
      <formula>TRUE</formula>
    </cfRule>
    <cfRule type="expression" dxfId="36" priority="95">
      <formula>D10=FALSE</formula>
    </cfRule>
  </conditionalFormatting>
  <conditionalFormatting sqref="D13:F13">
    <cfRule type="cellIs" dxfId="35" priority="54" operator="equal">
      <formula>TRUE</formula>
    </cfRule>
    <cfRule type="expression" dxfId="34" priority="53">
      <formula>D10=FALSE</formula>
    </cfRule>
  </conditionalFormatting>
  <conditionalFormatting sqref="D15:F15">
    <cfRule type="expression" dxfId="33" priority="23">
      <formula>D14=FALSE</formula>
    </cfRule>
  </conditionalFormatting>
  <conditionalFormatting sqref="D16:F16">
    <cfRule type="expression" dxfId="32" priority="19">
      <formula>D14=FALSE</formula>
    </cfRule>
  </conditionalFormatting>
  <conditionalFormatting sqref="D17:F17">
    <cfRule type="expression" dxfId="31" priority="21">
      <formula>D14=FALSE</formula>
    </cfRule>
  </conditionalFormatting>
  <conditionalFormatting sqref="D19:F19">
    <cfRule type="expression" dxfId="30" priority="11">
      <formula>D18=FALSE</formula>
    </cfRule>
  </conditionalFormatting>
  <conditionalFormatting sqref="D20:F20">
    <cfRule type="expression" dxfId="29" priority="7">
      <formula>D18=FALSE</formula>
    </cfRule>
  </conditionalFormatting>
  <conditionalFormatting sqref="D21:F21">
    <cfRule type="expression" dxfId="28" priority="9">
      <formula>D18=FALSE</formula>
    </cfRule>
  </conditionalFormatting>
  <conditionalFormatting sqref="D23:F23">
    <cfRule type="cellIs" dxfId="27" priority="76" operator="equal">
      <formula>TRUE</formula>
    </cfRule>
    <cfRule type="expression" dxfId="26" priority="75">
      <formula>D22=FALSE</formula>
    </cfRule>
  </conditionalFormatting>
  <conditionalFormatting sqref="D25:F25">
    <cfRule type="cellIs" dxfId="25" priority="48" operator="equal">
      <formula>TRUE</formula>
    </cfRule>
    <cfRule type="expression" dxfId="24" priority="47">
      <formula>D22=FALSE</formula>
    </cfRule>
  </conditionalFormatting>
  <conditionalFormatting sqref="D27:F27">
    <cfRule type="expression" dxfId="23" priority="73">
      <formula>D26=FALSE</formula>
    </cfRule>
    <cfRule type="cellIs" dxfId="22" priority="74" operator="equal">
      <formula>TRUE</formula>
    </cfRule>
  </conditionalFormatting>
  <conditionalFormatting sqref="D29:F29">
    <cfRule type="cellIs" dxfId="21" priority="46" operator="equal">
      <formula>TRUE</formula>
    </cfRule>
    <cfRule type="expression" dxfId="20" priority="45">
      <formula>D26=FALSE</formula>
    </cfRule>
  </conditionalFormatting>
  <conditionalFormatting sqref="D30:F30">
    <cfRule type="cellIs" dxfId="19" priority="61" operator="equal">
      <formula>FALSE</formula>
    </cfRule>
    <cfRule type="expression" dxfId="18" priority="62">
      <formula>FALSE</formula>
    </cfRule>
    <cfRule type="cellIs" dxfId="17" priority="64" operator="equal">
      <formula>TRUE</formula>
    </cfRule>
  </conditionalFormatting>
  <conditionalFormatting sqref="D31:F31">
    <cfRule type="expression" dxfId="16" priority="17">
      <formula>D30=FALSE</formula>
    </cfRule>
  </conditionalFormatting>
  <conditionalFormatting sqref="D32:F32">
    <cfRule type="expression" dxfId="15" priority="13">
      <formula>D30=FALSE</formula>
    </cfRule>
  </conditionalFormatting>
  <conditionalFormatting sqref="D33:F33">
    <cfRule type="expression" dxfId="14" priority="15">
      <formula>D30=FALSE</formula>
    </cfRule>
  </conditionalFormatting>
  <conditionalFormatting sqref="D34:F34">
    <cfRule type="expression" dxfId="13" priority="70">
      <formula>FALSE</formula>
    </cfRule>
    <cfRule type="cellIs" dxfId="12" priority="69" operator="equal">
      <formula>FALSE</formula>
    </cfRule>
    <cfRule type="cellIs" dxfId="11" priority="72" operator="equal">
      <formula>TRUE</formula>
    </cfRule>
  </conditionalFormatting>
  <conditionalFormatting sqref="D35:F35">
    <cfRule type="expression" dxfId="10" priority="5">
      <formula>D34=FALSE</formula>
    </cfRule>
  </conditionalFormatting>
  <conditionalFormatting sqref="D36:F36">
    <cfRule type="expression" dxfId="9" priority="1">
      <formula>D34=FALSE</formula>
    </cfRule>
  </conditionalFormatting>
  <conditionalFormatting sqref="D37:F37">
    <cfRule type="expression" dxfId="8" priority="3">
      <formula>D34=FALSE</formula>
    </cfRule>
  </conditionalFormatting>
  <conditionalFormatting sqref="E15:F17">
    <cfRule type="cellIs" dxfId="7" priority="82" operator="equal">
      <formula>TRUE</formula>
    </cfRule>
  </conditionalFormatting>
  <conditionalFormatting sqref="E31:F33">
    <cfRule type="cellIs" dxfId="6" priority="44" operator="equal">
      <formula>TRUE</formula>
    </cfRule>
  </conditionalFormatting>
  <conditionalFormatting sqref="F19">
    <cfRule type="cellIs" dxfId="5" priority="12" operator="equal">
      <formula>TRUE</formula>
    </cfRule>
  </conditionalFormatting>
  <conditionalFormatting sqref="F20">
    <cfRule type="cellIs" dxfId="4" priority="8" operator="equal">
      <formula>TRUE</formula>
    </cfRule>
  </conditionalFormatting>
  <conditionalFormatting sqref="F21">
    <cfRule type="cellIs" dxfId="3" priority="10" operator="equal">
      <formula>TRUE</formula>
    </cfRule>
  </conditionalFormatting>
  <conditionalFormatting sqref="F35">
    <cfRule type="cellIs" dxfId="2" priority="6" operator="equal">
      <formula>TRUE</formula>
    </cfRule>
  </conditionalFormatting>
  <conditionalFormatting sqref="F36">
    <cfRule type="cellIs" dxfId="1" priority="2" operator="equal">
      <formula>TRUE</formula>
    </cfRule>
  </conditionalFormatting>
  <conditionalFormatting sqref="F37">
    <cfRule type="cellIs" dxfId="0" priority="4"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14884-EC24-4076-BA95-390705C48CF3}">
  <dimension ref="A2:J27"/>
  <sheetViews>
    <sheetView workbookViewId="0">
      <selection activeCell="D17" sqref="D17"/>
    </sheetView>
  </sheetViews>
  <sheetFormatPr defaultRowHeight="12.75"/>
  <cols>
    <col min="1" max="1" width="11.42578125" style="137" customWidth="1"/>
    <col min="2" max="2" width="23.85546875" style="137" bestFit="1" customWidth="1"/>
    <col min="3" max="3" width="23.85546875" style="137" customWidth="1"/>
    <col min="4" max="4" width="16.42578125" style="137" bestFit="1" customWidth="1"/>
    <col min="5" max="5" width="12" style="137" bestFit="1" customWidth="1"/>
    <col min="6" max="6" width="10.140625" style="137" bestFit="1" customWidth="1"/>
    <col min="7" max="9" width="9.140625" style="137"/>
    <col min="10" max="10" width="22.28515625" style="137" bestFit="1" customWidth="1"/>
    <col min="11" max="16384" width="9.140625" style="137"/>
  </cols>
  <sheetData>
    <row r="2" spans="1:10">
      <c r="A2" s="138" t="s">
        <v>240</v>
      </c>
      <c r="B2" s="138" t="s">
        <v>241</v>
      </c>
      <c r="C2" s="138"/>
      <c r="D2" s="138" t="s">
        <v>242</v>
      </c>
      <c r="E2" s="138" t="s">
        <v>243</v>
      </c>
      <c r="F2" s="138" t="s">
        <v>244</v>
      </c>
      <c r="J2" s="138"/>
    </row>
    <row r="3" spans="1:10">
      <c r="A3" s="137" t="s">
        <v>4</v>
      </c>
      <c r="B3" s="137" t="s">
        <v>141</v>
      </c>
      <c r="C3" s="137" t="s">
        <v>245</v>
      </c>
      <c r="D3" s="137" t="s">
        <v>246</v>
      </c>
      <c r="E3" s="137" t="s">
        <v>247</v>
      </c>
      <c r="F3" s="137" t="s">
        <v>248</v>
      </c>
    </row>
    <row r="4" spans="1:10">
      <c r="A4" s="137" t="s">
        <v>4</v>
      </c>
      <c r="B4" s="137" t="s">
        <v>145</v>
      </c>
      <c r="C4" s="137" t="s">
        <v>217</v>
      </c>
      <c r="D4" s="137" t="s">
        <v>249</v>
      </c>
      <c r="E4" s="137" t="s">
        <v>250</v>
      </c>
      <c r="F4" s="137" t="s">
        <v>251</v>
      </c>
    </row>
    <row r="5" spans="1:10">
      <c r="A5" s="137" t="s">
        <v>4</v>
      </c>
      <c r="B5" s="137" t="s">
        <v>59</v>
      </c>
      <c r="C5" s="137" t="s">
        <v>235</v>
      </c>
      <c r="D5" s="137" t="s">
        <v>252</v>
      </c>
      <c r="E5" s="137" t="s">
        <v>253</v>
      </c>
      <c r="F5" s="137" t="s">
        <v>254</v>
      </c>
    </row>
    <row r="6" spans="1:10">
      <c r="A6" s="137" t="s">
        <v>4</v>
      </c>
      <c r="B6" s="137" t="s">
        <v>151</v>
      </c>
      <c r="C6" s="137" t="s">
        <v>255</v>
      </c>
      <c r="D6" s="137" t="s">
        <v>256</v>
      </c>
      <c r="E6" s="137" t="s">
        <v>257</v>
      </c>
      <c r="F6" s="137" t="s">
        <v>258</v>
      </c>
    </row>
    <row r="7" spans="1:10">
      <c r="A7" s="137" t="s">
        <v>4</v>
      </c>
      <c r="B7" s="137" t="s">
        <v>158</v>
      </c>
      <c r="C7" s="137" t="s">
        <v>259</v>
      </c>
      <c r="D7" s="137" t="s">
        <v>260</v>
      </c>
      <c r="E7" s="137" t="s">
        <v>261</v>
      </c>
      <c r="F7" s="137" t="s">
        <v>262</v>
      </c>
    </row>
    <row r="8" spans="1:10">
      <c r="A8" s="137" t="s">
        <v>4</v>
      </c>
      <c r="B8" s="137" t="s">
        <v>161</v>
      </c>
      <c r="C8" s="137" t="s">
        <v>263</v>
      </c>
      <c r="D8" s="137" t="s">
        <v>264</v>
      </c>
      <c r="E8" s="137" t="s">
        <v>265</v>
      </c>
      <c r="F8" s="137" t="s">
        <v>266</v>
      </c>
    </row>
    <row r="9" spans="1:10">
      <c r="A9" s="137" t="s">
        <v>4</v>
      </c>
      <c r="B9" s="137" t="s">
        <v>163</v>
      </c>
      <c r="C9" s="137" t="s">
        <v>267</v>
      </c>
      <c r="D9" s="137" t="s">
        <v>268</v>
      </c>
      <c r="E9" s="137" t="s">
        <v>269</v>
      </c>
      <c r="F9" s="137" t="s">
        <v>270</v>
      </c>
    </row>
    <row r="10" spans="1:10">
      <c r="A10" s="137" t="s">
        <v>4</v>
      </c>
      <c r="B10" s="137" t="s">
        <v>164</v>
      </c>
      <c r="C10" s="137" t="s">
        <v>271</v>
      </c>
      <c r="D10" s="137" t="s">
        <v>272</v>
      </c>
      <c r="E10" s="137" t="s">
        <v>273</v>
      </c>
      <c r="F10" s="137" t="s">
        <v>274</v>
      </c>
    </row>
    <row r="11" spans="1:10">
      <c r="A11" s="137" t="s">
        <v>4</v>
      </c>
      <c r="B11" s="137" t="s">
        <v>167</v>
      </c>
      <c r="C11" s="137" t="s">
        <v>275</v>
      </c>
      <c r="D11" s="137" t="s">
        <v>276</v>
      </c>
      <c r="E11" s="137" t="s">
        <v>277</v>
      </c>
      <c r="F11" s="137" t="s">
        <v>278</v>
      </c>
    </row>
    <row r="12" spans="1:10">
      <c r="A12" s="137" t="s">
        <v>4</v>
      </c>
      <c r="B12" s="137" t="s">
        <v>169</v>
      </c>
      <c r="C12" s="137" t="s">
        <v>226</v>
      </c>
      <c r="D12" s="137" t="s">
        <v>279</v>
      </c>
      <c r="E12" s="137" t="s">
        <v>280</v>
      </c>
      <c r="F12" s="137" t="s">
        <v>281</v>
      </c>
      <c r="J12" s="137" t="s">
        <v>282</v>
      </c>
    </row>
    <row r="13" spans="1:10">
      <c r="A13" s="137" t="s">
        <v>4</v>
      </c>
      <c r="B13" s="137" t="s">
        <v>172</v>
      </c>
      <c r="C13" s="137" t="s">
        <v>227</v>
      </c>
      <c r="D13" s="137" t="s">
        <v>283</v>
      </c>
      <c r="E13" s="137" t="s">
        <v>284</v>
      </c>
      <c r="F13" s="137" t="s">
        <v>285</v>
      </c>
    </row>
    <row r="14" spans="1:10">
      <c r="A14" s="137" t="s">
        <v>4</v>
      </c>
      <c r="B14" s="137" t="s">
        <v>174</v>
      </c>
      <c r="C14" s="137" t="s">
        <v>286</v>
      </c>
      <c r="D14" s="137" t="s">
        <v>287</v>
      </c>
      <c r="E14" s="137" t="s">
        <v>288</v>
      </c>
      <c r="F14" s="137" t="s">
        <v>289</v>
      </c>
    </row>
    <row r="15" spans="1:10">
      <c r="A15" s="137" t="s">
        <v>4</v>
      </c>
      <c r="B15" s="137" t="s">
        <v>178</v>
      </c>
      <c r="C15" s="137" t="s">
        <v>290</v>
      </c>
      <c r="D15" s="137" t="s">
        <v>291</v>
      </c>
      <c r="E15" s="137" t="s">
        <v>292</v>
      </c>
      <c r="F15" s="137" t="s">
        <v>293</v>
      </c>
    </row>
    <row r="16" spans="1:10">
      <c r="A16" s="137" t="s">
        <v>3</v>
      </c>
      <c r="B16" s="137" t="s">
        <v>53</v>
      </c>
      <c r="C16" s="137" t="s">
        <v>234</v>
      </c>
      <c r="D16" s="137" t="s">
        <v>294</v>
      </c>
      <c r="E16" s="137" t="s">
        <v>295</v>
      </c>
      <c r="F16" s="137" t="s">
        <v>296</v>
      </c>
    </row>
    <row r="17" spans="1:6">
      <c r="A17" s="137" t="s">
        <v>3</v>
      </c>
      <c r="B17" s="137" t="s">
        <v>144</v>
      </c>
      <c r="C17" s="137" t="s">
        <v>297</v>
      </c>
      <c r="D17" s="137" t="s">
        <v>298</v>
      </c>
      <c r="E17" s="137" t="s">
        <v>299</v>
      </c>
      <c r="F17" s="137" t="s">
        <v>300</v>
      </c>
    </row>
    <row r="18" spans="1:6">
      <c r="A18" s="137" t="s">
        <v>3</v>
      </c>
      <c r="B18" s="137" t="s">
        <v>148</v>
      </c>
      <c r="C18" s="137" t="s">
        <v>301</v>
      </c>
      <c r="D18" s="137" t="s">
        <v>302</v>
      </c>
      <c r="E18" s="137" t="s">
        <v>303</v>
      </c>
      <c r="F18" s="137" t="s">
        <v>304</v>
      </c>
    </row>
    <row r="19" spans="1:6">
      <c r="A19" s="137" t="s">
        <v>3</v>
      </c>
      <c r="B19" s="137" t="s">
        <v>150</v>
      </c>
      <c r="C19" s="137" t="s">
        <v>305</v>
      </c>
      <c r="D19" s="137" t="s">
        <v>306</v>
      </c>
      <c r="E19" s="137" t="s">
        <v>307</v>
      </c>
      <c r="F19" s="137" t="s">
        <v>308</v>
      </c>
    </row>
    <row r="20" spans="1:6">
      <c r="A20" s="137" t="s">
        <v>3</v>
      </c>
      <c r="B20" s="137" t="s">
        <v>12</v>
      </c>
      <c r="C20" s="137" t="s">
        <v>176</v>
      </c>
      <c r="D20" s="137" t="s">
        <v>309</v>
      </c>
      <c r="E20" s="137" t="s">
        <v>310</v>
      </c>
      <c r="F20" s="137" t="s">
        <v>311</v>
      </c>
    </row>
    <row r="21" spans="1:6">
      <c r="A21" s="137" t="s">
        <v>3</v>
      </c>
      <c r="B21" s="137" t="s">
        <v>160</v>
      </c>
      <c r="C21" s="137" t="s">
        <v>312</v>
      </c>
      <c r="D21" s="137" t="s">
        <v>313</v>
      </c>
      <c r="E21" s="137" t="s">
        <v>314</v>
      </c>
      <c r="F21" s="137" t="s">
        <v>315</v>
      </c>
    </row>
    <row r="22" spans="1:6">
      <c r="A22" s="137" t="s">
        <v>130</v>
      </c>
      <c r="B22" s="140" t="s">
        <v>143</v>
      </c>
      <c r="D22" s="137" t="s">
        <v>316</v>
      </c>
      <c r="F22" s="137" t="s">
        <v>317</v>
      </c>
    </row>
    <row r="23" spans="1:6">
      <c r="A23" s="137" t="s">
        <v>130</v>
      </c>
      <c r="B23" s="140" t="s">
        <v>45</v>
      </c>
      <c r="D23" s="137" t="s">
        <v>318</v>
      </c>
      <c r="F23" s="137" t="s">
        <v>319</v>
      </c>
    </row>
    <row r="24" spans="1:6">
      <c r="A24" s="137" t="s">
        <v>130</v>
      </c>
      <c r="B24" s="140" t="s">
        <v>149</v>
      </c>
      <c r="D24" s="137" t="s">
        <v>320</v>
      </c>
      <c r="F24" s="137" t="s">
        <v>321</v>
      </c>
    </row>
    <row r="25" spans="1:6">
      <c r="A25" s="137" t="s">
        <v>130</v>
      </c>
      <c r="B25" s="140" t="s">
        <v>154</v>
      </c>
      <c r="D25" s="137" t="s">
        <v>322</v>
      </c>
      <c r="F25" s="137" t="s">
        <v>323</v>
      </c>
    </row>
    <row r="26" spans="1:6">
      <c r="A26" s="137" t="s">
        <v>130</v>
      </c>
      <c r="B26" s="140" t="s">
        <v>159</v>
      </c>
      <c r="D26" s="137" t="s">
        <v>324</v>
      </c>
      <c r="F26" s="137" t="s">
        <v>325</v>
      </c>
    </row>
    <row r="27" spans="1:6">
      <c r="A27" s="137" t="s">
        <v>130</v>
      </c>
      <c r="B27" s="141" t="s">
        <v>162</v>
      </c>
      <c r="D27" s="137" t="s">
        <v>326</v>
      </c>
      <c r="F27" s="137" t="s">
        <v>327</v>
      </c>
    </row>
  </sheetData>
  <phoneticPr fontId="1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D901-96E2-49E0-AB3F-7DF374885F24}">
  <dimension ref="A1:AP80"/>
  <sheetViews>
    <sheetView showGridLines="0" topLeftCell="G12" workbookViewId="0">
      <selection activeCell="P13" sqref="P13:P15"/>
    </sheetView>
  </sheetViews>
  <sheetFormatPr defaultRowHeight="15"/>
  <cols>
    <col min="1" max="1" width="22.140625" style="1" bestFit="1" customWidth="1"/>
    <col min="2" max="2" width="31" style="1" bestFit="1" customWidth="1"/>
    <col min="3" max="4" width="8" style="108" customWidth="1"/>
    <col min="5" max="6" width="11" style="1" customWidth="1"/>
    <col min="7" max="7" width="21.85546875" style="1" customWidth="1"/>
    <col min="8" max="8" width="25.7109375" style="119" customWidth="1"/>
    <col min="9" max="10" width="8" style="119" customWidth="1"/>
    <col min="11" max="12" width="11" style="1" customWidth="1"/>
    <col min="13" max="13" width="15.7109375" style="33" bestFit="1" customWidth="1"/>
    <col min="14" max="15" width="12.7109375" style="1" customWidth="1"/>
    <col min="16" max="16" width="28.85546875" style="1" bestFit="1" customWidth="1"/>
    <col min="17" max="18" width="8" style="108" customWidth="1"/>
    <col min="19" max="20" width="10.5703125" style="1" customWidth="1"/>
    <col min="21" max="24" width="15.5703125" style="1" customWidth="1"/>
    <col min="25" max="26" width="44.42578125" style="2" customWidth="1"/>
    <col min="27" max="27" width="54.7109375" style="1" bestFit="1" customWidth="1"/>
    <col min="28" max="16384" width="9.140625" style="1"/>
  </cols>
  <sheetData>
    <row r="1" spans="1:42" ht="15.75" thickBot="1">
      <c r="A1" s="346" t="s">
        <v>328</v>
      </c>
      <c r="B1" s="346"/>
      <c r="C1" s="346"/>
      <c r="D1" s="346"/>
      <c r="E1" s="346"/>
      <c r="F1" s="346"/>
      <c r="G1" s="354" t="s">
        <v>3</v>
      </c>
      <c r="H1" s="346"/>
      <c r="I1" s="346"/>
      <c r="J1" s="346"/>
      <c r="K1" s="346"/>
      <c r="L1" s="355"/>
      <c r="M1" s="351" t="s">
        <v>4</v>
      </c>
      <c r="N1" s="352"/>
      <c r="O1" s="352"/>
      <c r="P1" s="352"/>
      <c r="Q1" s="352"/>
      <c r="R1" s="352"/>
      <c r="S1" s="352"/>
      <c r="T1" s="353"/>
      <c r="U1" s="370" t="s">
        <v>329</v>
      </c>
      <c r="V1" s="371"/>
      <c r="W1" s="371"/>
      <c r="X1" s="371"/>
      <c r="Y1" s="371"/>
      <c r="Z1" s="371"/>
      <c r="AA1" s="371"/>
    </row>
    <row r="2" spans="1:42" s="4" customFormat="1" ht="15" customHeight="1">
      <c r="A2" s="398" t="s">
        <v>330</v>
      </c>
      <c r="B2" s="400" t="s">
        <v>331</v>
      </c>
      <c r="C2" s="347" t="s">
        <v>332</v>
      </c>
      <c r="D2" s="349" t="s">
        <v>333</v>
      </c>
      <c r="E2" s="389" t="s">
        <v>334</v>
      </c>
      <c r="F2" s="390"/>
      <c r="G2" s="377" t="s">
        <v>335</v>
      </c>
      <c r="H2" s="403" t="s">
        <v>128</v>
      </c>
      <c r="I2" s="347" t="s">
        <v>332</v>
      </c>
      <c r="J2" s="349" t="s">
        <v>333</v>
      </c>
      <c r="K2" s="389" t="s">
        <v>336</v>
      </c>
      <c r="L2" s="390"/>
      <c r="M2" s="356" t="s">
        <v>337</v>
      </c>
      <c r="N2" s="357"/>
      <c r="O2" s="358"/>
      <c r="P2" s="408" t="s">
        <v>129</v>
      </c>
      <c r="Q2" s="347" t="s">
        <v>332</v>
      </c>
      <c r="R2" s="349" t="s">
        <v>333</v>
      </c>
      <c r="S2" s="389" t="s">
        <v>338</v>
      </c>
      <c r="T2" s="390"/>
      <c r="U2" s="376" t="s">
        <v>339</v>
      </c>
      <c r="V2" s="377"/>
      <c r="W2" s="377"/>
      <c r="X2" s="377"/>
      <c r="Y2" s="372" t="s">
        <v>340</v>
      </c>
      <c r="Z2" s="372" t="s">
        <v>341</v>
      </c>
      <c r="AA2" s="374" t="s">
        <v>342</v>
      </c>
    </row>
    <row r="3" spans="1:42" s="4" customFormat="1" ht="12.75">
      <c r="A3" s="399"/>
      <c r="B3" s="401" t="s">
        <v>2</v>
      </c>
      <c r="C3" s="348"/>
      <c r="D3" s="350"/>
      <c r="E3" s="6" t="s">
        <v>343</v>
      </c>
      <c r="F3" s="65" t="s">
        <v>344</v>
      </c>
      <c r="G3" s="402"/>
      <c r="H3" s="404"/>
      <c r="I3" s="348"/>
      <c r="J3" s="350"/>
      <c r="K3" s="6" t="s">
        <v>345</v>
      </c>
      <c r="L3" s="65" t="s">
        <v>344</v>
      </c>
      <c r="M3" s="64" t="s">
        <v>346</v>
      </c>
      <c r="N3" s="8" t="s">
        <v>347</v>
      </c>
      <c r="O3" s="20" t="s">
        <v>348</v>
      </c>
      <c r="P3" s="409"/>
      <c r="Q3" s="348"/>
      <c r="R3" s="350"/>
      <c r="S3" s="6" t="s">
        <v>345</v>
      </c>
      <c r="T3" s="7" t="s">
        <v>344</v>
      </c>
      <c r="U3" s="83" t="s">
        <v>349</v>
      </c>
      <c r="V3" s="21" t="s">
        <v>340</v>
      </c>
      <c r="W3" s="21" t="s">
        <v>341</v>
      </c>
      <c r="X3" s="21" t="s">
        <v>342</v>
      </c>
      <c r="Y3" s="373"/>
      <c r="Z3" s="373"/>
      <c r="AA3" s="375"/>
      <c r="AG3" s="9"/>
      <c r="AH3" s="9"/>
      <c r="AI3" s="9"/>
      <c r="AJ3" s="9"/>
      <c r="AK3" s="9"/>
      <c r="AL3" s="9"/>
      <c r="AM3" s="9"/>
      <c r="AN3" s="9"/>
      <c r="AO3" s="9"/>
      <c r="AP3" s="9"/>
    </row>
    <row r="4" spans="1:42">
      <c r="A4" s="391" t="s">
        <v>350</v>
      </c>
      <c r="B4" s="405" t="s">
        <v>351</v>
      </c>
      <c r="C4" s="106"/>
      <c r="D4" s="106"/>
      <c r="E4" s="362" t="s">
        <v>140</v>
      </c>
      <c r="F4" s="365" t="s">
        <v>352</v>
      </c>
      <c r="G4" s="424" t="s">
        <v>353</v>
      </c>
      <c r="H4" s="393" t="s">
        <v>234</v>
      </c>
      <c r="I4" s="109"/>
      <c r="J4" s="109"/>
      <c r="K4" s="362" t="s">
        <v>140</v>
      </c>
      <c r="L4" s="365" t="s">
        <v>352</v>
      </c>
      <c r="M4" s="359" t="s">
        <v>354</v>
      </c>
      <c r="N4" s="11" t="s">
        <v>355</v>
      </c>
      <c r="O4" s="105">
        <f>U4</f>
        <v>-6.2E-2</v>
      </c>
      <c r="P4" s="27" t="s">
        <v>356</v>
      </c>
      <c r="Q4" s="32"/>
      <c r="R4" s="32"/>
      <c r="S4" s="51" t="s">
        <v>357</v>
      </c>
      <c r="T4" s="66" t="s">
        <v>358</v>
      </c>
      <c r="U4" s="104">
        <f>V4+W4+X4</f>
        <v>-6.2E-2</v>
      </c>
      <c r="V4" s="102">
        <v>-7.0000000000000001E-3</v>
      </c>
      <c r="W4" s="103">
        <v>-5.0000000000000001E-3</v>
      </c>
      <c r="X4" s="103">
        <v>-0.05</v>
      </c>
      <c r="Y4" s="27" t="s">
        <v>143</v>
      </c>
      <c r="Z4" s="11" t="s">
        <v>45</v>
      </c>
      <c r="AA4" s="75" t="s">
        <v>159</v>
      </c>
    </row>
    <row r="5" spans="1:42">
      <c r="A5" s="392"/>
      <c r="B5" s="406"/>
      <c r="C5" s="18"/>
      <c r="D5" s="18"/>
      <c r="E5" s="363"/>
      <c r="F5" s="366"/>
      <c r="G5" s="425"/>
      <c r="H5" s="394"/>
      <c r="I5" s="110"/>
      <c r="J5" s="110"/>
      <c r="K5" s="363"/>
      <c r="L5" s="366"/>
      <c r="M5" s="360"/>
      <c r="N5" s="4" t="s">
        <v>359</v>
      </c>
      <c r="O5" s="4"/>
      <c r="P5" s="28" t="s">
        <v>360</v>
      </c>
      <c r="Q5" s="39"/>
      <c r="R5" s="39"/>
      <c r="S5" s="60">
        <v>0.9</v>
      </c>
      <c r="T5" s="67">
        <v>0.95</v>
      </c>
      <c r="U5" s="85"/>
      <c r="V5" s="4"/>
      <c r="W5" s="4"/>
      <c r="X5" s="4"/>
      <c r="Y5" s="28" t="s">
        <v>45</v>
      </c>
      <c r="Z5" s="4" t="s">
        <v>159</v>
      </c>
      <c r="AA5" s="75"/>
    </row>
    <row r="6" spans="1:42">
      <c r="A6" s="392"/>
      <c r="B6" s="406"/>
      <c r="C6" s="18"/>
      <c r="D6" s="18"/>
      <c r="E6" s="363"/>
      <c r="F6" s="366"/>
      <c r="G6" s="425"/>
      <c r="H6" s="395"/>
      <c r="I6" s="111"/>
      <c r="J6" s="111"/>
      <c r="K6" s="364"/>
      <c r="L6" s="367"/>
      <c r="M6" s="361"/>
      <c r="N6" s="14" t="s">
        <v>361</v>
      </c>
      <c r="O6" s="14"/>
      <c r="P6" s="29" t="s">
        <v>158</v>
      </c>
      <c r="Q6" s="120"/>
      <c r="R6" s="120"/>
      <c r="S6" s="61">
        <v>0.9</v>
      </c>
      <c r="T6" s="68">
        <v>0.95</v>
      </c>
      <c r="U6" s="86"/>
      <c r="V6" s="14"/>
      <c r="W6" s="14"/>
      <c r="X6" s="14"/>
      <c r="Y6" s="29" t="s">
        <v>149</v>
      </c>
      <c r="Z6" s="14"/>
      <c r="AA6" s="87"/>
    </row>
    <row r="7" spans="1:42">
      <c r="A7" s="392"/>
      <c r="B7" s="406"/>
      <c r="C7" s="18"/>
      <c r="D7" s="18"/>
      <c r="E7" s="363"/>
      <c r="F7" s="366"/>
      <c r="G7" s="425"/>
      <c r="H7" s="396" t="s">
        <v>176</v>
      </c>
      <c r="I7" s="112"/>
      <c r="J7" s="112"/>
      <c r="K7" s="368" t="s">
        <v>352</v>
      </c>
      <c r="L7" s="369" t="s">
        <v>362</v>
      </c>
      <c r="M7" s="88"/>
      <c r="N7" s="15"/>
      <c r="O7" s="15"/>
      <c r="P7" s="30" t="s">
        <v>363</v>
      </c>
      <c r="Q7" s="121"/>
      <c r="R7" s="121"/>
      <c r="S7" s="15"/>
      <c r="T7" s="69"/>
      <c r="U7" s="88"/>
      <c r="V7" s="15"/>
      <c r="W7" s="15"/>
      <c r="X7" s="15"/>
      <c r="Y7" s="30" t="s">
        <v>154</v>
      </c>
      <c r="Z7" s="15"/>
      <c r="AA7" s="69"/>
    </row>
    <row r="8" spans="1:42">
      <c r="A8" s="392"/>
      <c r="B8" s="406"/>
      <c r="C8" s="18"/>
      <c r="D8" s="18"/>
      <c r="E8" s="363"/>
      <c r="F8" s="366"/>
      <c r="G8" s="4"/>
      <c r="H8" s="394"/>
      <c r="I8" s="110"/>
      <c r="J8" s="110"/>
      <c r="K8" s="363"/>
      <c r="L8" s="366"/>
      <c r="M8" s="85"/>
      <c r="N8" s="4"/>
      <c r="O8" s="4"/>
      <c r="P8" s="28" t="s">
        <v>364</v>
      </c>
      <c r="Q8" s="39"/>
      <c r="R8" s="39"/>
      <c r="S8" s="52" t="s">
        <v>365</v>
      </c>
      <c r="T8" s="70" t="s">
        <v>366</v>
      </c>
      <c r="U8" s="85"/>
      <c r="V8" s="4"/>
      <c r="W8" s="4"/>
      <c r="X8" s="4"/>
      <c r="Y8" s="28" t="s">
        <v>143</v>
      </c>
      <c r="Z8" s="4" t="s">
        <v>45</v>
      </c>
      <c r="AA8" s="75" t="s">
        <v>159</v>
      </c>
    </row>
    <row r="9" spans="1:42">
      <c r="A9" s="392"/>
      <c r="B9" s="406"/>
      <c r="C9" s="18"/>
      <c r="D9" s="18"/>
      <c r="E9" s="363"/>
      <c r="F9" s="366"/>
      <c r="G9" s="4"/>
      <c r="H9" s="395"/>
      <c r="I9" s="111"/>
      <c r="J9" s="111"/>
      <c r="K9" s="364"/>
      <c r="L9" s="367"/>
      <c r="M9" s="86"/>
      <c r="N9" s="14"/>
      <c r="O9" s="14"/>
      <c r="P9" s="29" t="s">
        <v>367</v>
      </c>
      <c r="Q9" s="120"/>
      <c r="R9" s="120"/>
      <c r="S9" s="61">
        <v>0.95</v>
      </c>
      <c r="T9" s="68">
        <v>0.99</v>
      </c>
      <c r="U9" s="86"/>
      <c r="V9" s="14"/>
      <c r="W9" s="14"/>
      <c r="X9" s="14"/>
      <c r="Y9" s="29" t="s">
        <v>154</v>
      </c>
      <c r="Z9" s="14" t="s">
        <v>162</v>
      </c>
      <c r="AA9" s="87"/>
    </row>
    <row r="10" spans="1:42">
      <c r="A10" s="392"/>
      <c r="B10" s="406"/>
      <c r="C10" s="18"/>
      <c r="D10" s="18"/>
      <c r="E10" s="363"/>
      <c r="F10" s="366"/>
      <c r="G10" s="11"/>
      <c r="H10" s="393" t="s">
        <v>144</v>
      </c>
      <c r="I10" s="109"/>
      <c r="J10" s="109"/>
      <c r="K10" s="381">
        <v>0.85</v>
      </c>
      <c r="L10" s="384">
        <v>1</v>
      </c>
      <c r="M10" s="84"/>
      <c r="N10" s="11"/>
      <c r="O10" s="11"/>
      <c r="P10" s="27" t="s">
        <v>360</v>
      </c>
      <c r="Q10" s="32"/>
      <c r="R10" s="32"/>
      <c r="S10" s="11"/>
      <c r="T10" s="72"/>
      <c r="U10" s="84"/>
      <c r="V10" s="11"/>
      <c r="W10" s="11"/>
      <c r="X10" s="11"/>
      <c r="Y10" s="27" t="s">
        <v>45</v>
      </c>
      <c r="Z10" s="11" t="s">
        <v>159</v>
      </c>
      <c r="AA10" s="72"/>
    </row>
    <row r="11" spans="1:42">
      <c r="A11" s="392"/>
      <c r="B11" s="406"/>
      <c r="C11" s="18"/>
      <c r="D11" s="18"/>
      <c r="E11" s="363"/>
      <c r="F11" s="366"/>
      <c r="G11" s="4"/>
      <c r="H11" s="394"/>
      <c r="I11" s="110"/>
      <c r="J11" s="110"/>
      <c r="K11" s="382"/>
      <c r="L11" s="385"/>
      <c r="M11" s="85"/>
      <c r="N11" s="4"/>
      <c r="O11" s="4"/>
      <c r="P11" s="28" t="s">
        <v>368</v>
      </c>
      <c r="Q11" s="39"/>
      <c r="R11" s="39"/>
      <c r="S11" s="52" t="s">
        <v>369</v>
      </c>
      <c r="T11" s="70" t="s">
        <v>370</v>
      </c>
      <c r="U11" s="85"/>
      <c r="V11" s="4"/>
      <c r="W11" s="4"/>
      <c r="X11" s="4"/>
      <c r="Y11" s="28" t="s">
        <v>143</v>
      </c>
      <c r="Z11" s="4" t="s">
        <v>45</v>
      </c>
      <c r="AA11" s="75"/>
    </row>
    <row r="12" spans="1:42">
      <c r="A12" s="392"/>
      <c r="B12" s="406"/>
      <c r="C12" s="18"/>
      <c r="D12" s="18"/>
      <c r="E12" s="363"/>
      <c r="F12" s="366"/>
      <c r="G12" s="56"/>
      <c r="H12" s="397"/>
      <c r="I12" s="114"/>
      <c r="J12" s="114"/>
      <c r="K12" s="383"/>
      <c r="L12" s="386"/>
      <c r="M12" s="90"/>
      <c r="N12" s="54"/>
      <c r="O12" s="54"/>
      <c r="P12" s="45" t="s">
        <v>371</v>
      </c>
      <c r="Q12" s="123"/>
      <c r="R12" s="123"/>
      <c r="S12" s="59">
        <v>0</v>
      </c>
      <c r="T12" s="73">
        <v>0.02</v>
      </c>
      <c r="U12" s="90"/>
      <c r="V12" s="54"/>
      <c r="W12" s="54"/>
      <c r="X12" s="54"/>
      <c r="Y12" s="45" t="s">
        <v>159</v>
      </c>
      <c r="Z12" s="91" t="s">
        <v>149</v>
      </c>
      <c r="AA12" s="92"/>
    </row>
    <row r="13" spans="1:42">
      <c r="A13" s="392"/>
      <c r="B13" s="406"/>
      <c r="C13" s="18"/>
      <c r="D13" s="18"/>
      <c r="E13" s="363"/>
      <c r="F13" s="366"/>
      <c r="G13" s="4"/>
      <c r="H13" s="394" t="s">
        <v>372</v>
      </c>
      <c r="I13" s="110"/>
      <c r="J13" s="110"/>
      <c r="K13" s="387" t="s">
        <v>142</v>
      </c>
      <c r="L13" s="410" t="s">
        <v>369</v>
      </c>
      <c r="M13" s="85"/>
      <c r="N13" s="4"/>
      <c r="O13" s="4"/>
      <c r="P13" s="28" t="s">
        <v>373</v>
      </c>
      <c r="Q13" s="39"/>
      <c r="R13" s="39"/>
      <c r="S13" s="62">
        <v>0.9</v>
      </c>
      <c r="T13" s="74">
        <v>0.95</v>
      </c>
      <c r="U13" s="85"/>
      <c r="V13" s="4"/>
      <c r="W13" s="4"/>
      <c r="X13" s="4"/>
      <c r="Y13" s="28" t="s">
        <v>159</v>
      </c>
      <c r="Z13" s="4"/>
      <c r="AA13" s="75"/>
    </row>
    <row r="14" spans="1:42">
      <c r="A14" s="392"/>
      <c r="B14" s="406"/>
      <c r="C14" s="18"/>
      <c r="D14" s="18"/>
      <c r="E14" s="363"/>
      <c r="F14" s="366"/>
      <c r="G14" s="4"/>
      <c r="H14" s="394"/>
      <c r="I14" s="110"/>
      <c r="J14" s="110"/>
      <c r="K14" s="363"/>
      <c r="L14" s="366"/>
      <c r="M14" s="85"/>
      <c r="N14" s="4"/>
      <c r="O14" s="4"/>
      <c r="P14" s="28" t="s">
        <v>374</v>
      </c>
      <c r="Q14" s="39"/>
      <c r="R14" s="39"/>
      <c r="S14" s="4"/>
      <c r="T14" s="75"/>
      <c r="U14" s="85"/>
      <c r="V14" s="4"/>
      <c r="W14" s="4"/>
      <c r="X14" s="4"/>
      <c r="Y14" s="28" t="s">
        <v>162</v>
      </c>
      <c r="Z14" s="4"/>
      <c r="AA14" s="75"/>
    </row>
    <row r="15" spans="1:42">
      <c r="A15" s="392"/>
      <c r="B15" s="407"/>
      <c r="C15" s="107"/>
      <c r="D15" s="107"/>
      <c r="E15" s="388"/>
      <c r="F15" s="411"/>
      <c r="G15" s="17"/>
      <c r="H15" s="417"/>
      <c r="I15" s="113"/>
      <c r="J15" s="113"/>
      <c r="K15" s="388"/>
      <c r="L15" s="411"/>
      <c r="M15" s="89"/>
      <c r="N15" s="17"/>
      <c r="O15" s="17"/>
      <c r="P15" s="31" t="s">
        <v>375</v>
      </c>
      <c r="Q15" s="122"/>
      <c r="R15" s="122"/>
      <c r="S15" s="17"/>
      <c r="T15" s="71"/>
      <c r="U15" s="89"/>
      <c r="V15" s="17"/>
      <c r="W15" s="17"/>
      <c r="X15" s="17"/>
      <c r="Y15" s="31" t="s">
        <v>162</v>
      </c>
      <c r="Z15" s="17"/>
      <c r="AA15" s="71"/>
    </row>
    <row r="16" spans="1:42">
      <c r="A16" s="392"/>
      <c r="B16" s="405" t="s">
        <v>376</v>
      </c>
      <c r="C16" s="106"/>
      <c r="D16" s="106"/>
      <c r="E16" s="362"/>
      <c r="F16" s="365"/>
      <c r="G16" s="11"/>
      <c r="H16" s="393" t="s">
        <v>234</v>
      </c>
      <c r="I16" s="109"/>
      <c r="J16" s="109"/>
      <c r="K16" s="362" t="s">
        <v>140</v>
      </c>
      <c r="L16" s="365" t="s">
        <v>352</v>
      </c>
      <c r="M16" s="84"/>
      <c r="N16" s="11"/>
      <c r="O16" s="11"/>
      <c r="P16" s="27" t="s">
        <v>356</v>
      </c>
      <c r="Q16" s="32"/>
      <c r="R16" s="32"/>
      <c r="S16" s="51" t="s">
        <v>357</v>
      </c>
      <c r="T16" s="66" t="s">
        <v>358</v>
      </c>
      <c r="U16" s="84"/>
      <c r="V16" s="11"/>
      <c r="W16" s="11"/>
      <c r="X16" s="11"/>
      <c r="Y16" s="27" t="s">
        <v>143</v>
      </c>
      <c r="Z16" s="4" t="s">
        <v>45</v>
      </c>
      <c r="AA16" s="75" t="s">
        <v>159</v>
      </c>
    </row>
    <row r="17" spans="1:27">
      <c r="A17" s="392"/>
      <c r="B17" s="406"/>
      <c r="C17" s="18"/>
      <c r="D17" s="18"/>
      <c r="E17" s="363"/>
      <c r="F17" s="366"/>
      <c r="G17" s="4"/>
      <c r="H17" s="394"/>
      <c r="I17" s="110"/>
      <c r="J17" s="110"/>
      <c r="K17" s="364"/>
      <c r="L17" s="367"/>
      <c r="M17" s="85"/>
      <c r="N17" s="4"/>
      <c r="O17" s="4"/>
      <c r="P17" s="28" t="s">
        <v>360</v>
      </c>
      <c r="Q17" s="39"/>
      <c r="R17" s="39"/>
      <c r="S17" s="60">
        <v>0.9</v>
      </c>
      <c r="T17" s="67">
        <v>0.95</v>
      </c>
      <c r="U17" s="85"/>
      <c r="V17" s="4"/>
      <c r="W17" s="4"/>
      <c r="X17" s="4"/>
      <c r="Y17" s="28" t="s">
        <v>45</v>
      </c>
      <c r="Z17" s="4" t="s">
        <v>159</v>
      </c>
      <c r="AA17" s="75"/>
    </row>
    <row r="18" spans="1:27">
      <c r="A18" s="392"/>
      <c r="B18" s="406"/>
      <c r="C18" s="18"/>
      <c r="D18" s="18"/>
      <c r="E18" s="363"/>
      <c r="F18" s="366"/>
      <c r="G18" s="4"/>
      <c r="H18" s="396" t="s">
        <v>176</v>
      </c>
      <c r="I18" s="112"/>
      <c r="J18" s="112"/>
      <c r="K18" s="368" t="s">
        <v>352</v>
      </c>
      <c r="L18" s="369" t="s">
        <v>362</v>
      </c>
      <c r="M18" s="88"/>
      <c r="N18" s="15"/>
      <c r="O18" s="15"/>
      <c r="P18" s="30" t="s">
        <v>363</v>
      </c>
      <c r="Q18" s="121"/>
      <c r="R18" s="121"/>
      <c r="S18" s="15"/>
      <c r="T18" s="69"/>
      <c r="U18" s="88"/>
      <c r="V18" s="15"/>
      <c r="W18" s="15"/>
      <c r="X18" s="15"/>
      <c r="Y18" s="30" t="s">
        <v>154</v>
      </c>
      <c r="Z18" s="15"/>
      <c r="AA18" s="69"/>
    </row>
    <row r="19" spans="1:27">
      <c r="A19" s="392"/>
      <c r="B19" s="406"/>
      <c r="C19" s="18"/>
      <c r="D19" s="18"/>
      <c r="E19" s="363"/>
      <c r="F19" s="366"/>
      <c r="G19" s="4"/>
      <c r="H19" s="394"/>
      <c r="I19" s="110"/>
      <c r="J19" s="110"/>
      <c r="K19" s="363"/>
      <c r="L19" s="366"/>
      <c r="M19" s="85"/>
      <c r="N19" s="4"/>
      <c r="O19" s="4"/>
      <c r="P19" s="28" t="s">
        <v>364</v>
      </c>
      <c r="Q19" s="39"/>
      <c r="R19" s="39"/>
      <c r="S19" s="52" t="s">
        <v>365</v>
      </c>
      <c r="T19" s="70" t="s">
        <v>366</v>
      </c>
      <c r="U19" s="85"/>
      <c r="V19" s="4"/>
      <c r="W19" s="4"/>
      <c r="X19" s="4"/>
      <c r="Y19" s="28" t="s">
        <v>143</v>
      </c>
      <c r="Z19" s="4" t="s">
        <v>45</v>
      </c>
      <c r="AA19" s="75" t="s">
        <v>159</v>
      </c>
    </row>
    <row r="20" spans="1:27">
      <c r="A20" s="392"/>
      <c r="B20" s="406"/>
      <c r="C20" s="18"/>
      <c r="D20" s="18"/>
      <c r="E20" s="363"/>
      <c r="F20" s="366"/>
      <c r="G20" s="4"/>
      <c r="H20" s="395"/>
      <c r="I20" s="111"/>
      <c r="J20" s="111"/>
      <c r="K20" s="364"/>
      <c r="L20" s="367"/>
      <c r="M20" s="86"/>
      <c r="N20" s="14"/>
      <c r="O20" s="14"/>
      <c r="P20" s="29" t="s">
        <v>377</v>
      </c>
      <c r="Q20" s="120"/>
      <c r="R20" s="120"/>
      <c r="S20" s="53" t="s">
        <v>378</v>
      </c>
      <c r="T20" s="76" t="s">
        <v>379</v>
      </c>
      <c r="U20" s="86"/>
      <c r="V20" s="14"/>
      <c r="W20" s="14"/>
      <c r="X20" s="14"/>
      <c r="Y20" s="29" t="s">
        <v>154</v>
      </c>
      <c r="Z20" s="14"/>
      <c r="AA20" s="87"/>
    </row>
    <row r="21" spans="1:27">
      <c r="A21" s="392"/>
      <c r="B21" s="406"/>
      <c r="C21" s="18"/>
      <c r="D21" s="18"/>
      <c r="E21" s="363"/>
      <c r="F21" s="366"/>
      <c r="G21" s="56"/>
      <c r="H21" s="125" t="s">
        <v>380</v>
      </c>
      <c r="I21" s="114"/>
      <c r="J21" s="114"/>
      <c r="K21" s="54"/>
      <c r="L21" s="92"/>
      <c r="M21" s="90"/>
      <c r="N21" s="54"/>
      <c r="O21" s="54"/>
      <c r="P21" s="45" t="s">
        <v>381</v>
      </c>
      <c r="Q21" s="123"/>
      <c r="R21" s="123"/>
      <c r="S21" s="58"/>
      <c r="T21" s="77"/>
      <c r="U21" s="90"/>
      <c r="V21" s="54"/>
      <c r="W21" s="54"/>
      <c r="X21" s="54"/>
      <c r="Y21" s="45" t="s">
        <v>154</v>
      </c>
      <c r="Z21" s="54"/>
      <c r="AA21" s="92"/>
    </row>
    <row r="22" spans="1:27">
      <c r="A22" s="392"/>
      <c r="B22" s="418"/>
      <c r="C22" s="18"/>
      <c r="D22" s="18"/>
      <c r="E22" s="388"/>
      <c r="F22" s="411"/>
      <c r="G22" s="17"/>
      <c r="H22" s="47" t="s">
        <v>382</v>
      </c>
      <c r="I22" s="18"/>
      <c r="J22" s="18"/>
      <c r="K22" s="4"/>
      <c r="L22" s="75"/>
      <c r="M22" s="85"/>
      <c r="N22" s="4"/>
      <c r="O22" s="4"/>
      <c r="P22" s="28" t="s">
        <v>371</v>
      </c>
      <c r="Q22" s="39"/>
      <c r="R22" s="39"/>
      <c r="S22" s="59">
        <v>0</v>
      </c>
      <c r="T22" s="73">
        <v>0.02</v>
      </c>
      <c r="U22" s="85"/>
      <c r="V22" s="4"/>
      <c r="W22" s="4"/>
      <c r="X22" s="4"/>
      <c r="Y22" s="93" t="s">
        <v>159</v>
      </c>
      <c r="Z22" s="94" t="s">
        <v>149</v>
      </c>
      <c r="AA22" s="95"/>
    </row>
    <row r="23" spans="1:27">
      <c r="A23" s="412" t="s">
        <v>383</v>
      </c>
      <c r="B23" s="415" t="s">
        <v>384</v>
      </c>
      <c r="C23" s="18"/>
      <c r="D23" s="18"/>
      <c r="E23" s="362"/>
      <c r="F23" s="365"/>
      <c r="G23" s="4"/>
      <c r="H23" s="378" t="s">
        <v>385</v>
      </c>
      <c r="I23" s="106"/>
      <c r="J23" s="106"/>
      <c r="K23" s="11"/>
      <c r="L23" s="72"/>
      <c r="M23" s="84"/>
      <c r="N23" s="11"/>
      <c r="O23" s="11"/>
      <c r="P23" s="27" t="s">
        <v>367</v>
      </c>
      <c r="Q23" s="32"/>
      <c r="R23" s="32"/>
      <c r="S23" s="51"/>
      <c r="T23" s="66"/>
      <c r="U23" s="84"/>
      <c r="V23" s="11"/>
      <c r="W23" s="11"/>
      <c r="X23" s="96"/>
      <c r="Y23" s="11" t="s">
        <v>154</v>
      </c>
      <c r="Z23" s="11" t="s">
        <v>162</v>
      </c>
      <c r="AA23" s="75"/>
    </row>
    <row r="24" spans="1:27" ht="15" customHeight="1">
      <c r="A24" s="413"/>
      <c r="B24" s="415"/>
      <c r="C24" s="18"/>
      <c r="D24" s="18"/>
      <c r="E24" s="363"/>
      <c r="F24" s="366"/>
      <c r="G24" s="4"/>
      <c r="H24" s="379"/>
      <c r="I24" s="18"/>
      <c r="J24" s="18"/>
      <c r="K24" s="4"/>
      <c r="L24" s="75"/>
      <c r="M24" s="85"/>
      <c r="N24" s="4"/>
      <c r="O24" s="4"/>
      <c r="P24" s="28" t="s">
        <v>364</v>
      </c>
      <c r="Q24" s="39"/>
      <c r="R24" s="39"/>
      <c r="S24" s="52" t="s">
        <v>365</v>
      </c>
      <c r="T24" s="70" t="s">
        <v>366</v>
      </c>
      <c r="U24" s="85"/>
      <c r="V24" s="4"/>
      <c r="W24" s="4"/>
      <c r="X24" s="4"/>
      <c r="Y24" s="28" t="s">
        <v>143</v>
      </c>
      <c r="Z24" s="4" t="s">
        <v>45</v>
      </c>
      <c r="AA24" s="75" t="s">
        <v>159</v>
      </c>
    </row>
    <row r="25" spans="1:27">
      <c r="A25" s="413"/>
      <c r="B25" s="415"/>
      <c r="C25" s="18"/>
      <c r="D25" s="18"/>
      <c r="E25" s="363"/>
      <c r="F25" s="366"/>
      <c r="G25" s="4"/>
      <c r="H25" s="380"/>
      <c r="I25" s="115"/>
      <c r="J25" s="115"/>
      <c r="K25" s="14"/>
      <c r="L25" s="87"/>
      <c r="M25" s="86"/>
      <c r="N25" s="14"/>
      <c r="O25" s="14"/>
      <c r="P25" s="29" t="s">
        <v>377</v>
      </c>
      <c r="Q25" s="120"/>
      <c r="R25" s="120"/>
      <c r="S25" s="53" t="s">
        <v>378</v>
      </c>
      <c r="T25" s="76" t="s">
        <v>379</v>
      </c>
      <c r="U25" s="86"/>
      <c r="V25" s="14"/>
      <c r="W25" s="14"/>
      <c r="X25" s="97"/>
      <c r="Y25" s="14" t="s">
        <v>154</v>
      </c>
      <c r="Z25" s="14"/>
      <c r="AA25" s="87"/>
    </row>
    <row r="26" spans="1:27">
      <c r="A26" s="413"/>
      <c r="B26" s="415"/>
      <c r="C26" s="18"/>
      <c r="D26" s="18"/>
      <c r="E26" s="363"/>
      <c r="F26" s="366"/>
      <c r="G26" s="4"/>
      <c r="H26" s="422" t="s">
        <v>386</v>
      </c>
      <c r="I26" s="116"/>
      <c r="J26" s="116"/>
      <c r="K26" s="15"/>
      <c r="L26" s="75"/>
      <c r="M26" s="85"/>
      <c r="N26" s="4"/>
      <c r="O26" s="4"/>
      <c r="P26" s="28" t="s">
        <v>360</v>
      </c>
      <c r="Q26" s="39"/>
      <c r="R26" s="39"/>
      <c r="S26" s="60">
        <v>0.9</v>
      </c>
      <c r="T26" s="67">
        <v>0.95</v>
      </c>
      <c r="U26" s="85"/>
      <c r="V26" s="4"/>
      <c r="W26" s="4"/>
      <c r="X26" s="4"/>
      <c r="Y26" s="28" t="s">
        <v>45</v>
      </c>
      <c r="Z26" s="4" t="s">
        <v>159</v>
      </c>
      <c r="AA26" s="75"/>
    </row>
    <row r="27" spans="1:27">
      <c r="A27" s="413"/>
      <c r="B27" s="415"/>
      <c r="C27" s="18"/>
      <c r="D27" s="18"/>
      <c r="E27" s="363"/>
      <c r="F27" s="366"/>
      <c r="G27" s="56"/>
      <c r="H27" s="423"/>
      <c r="I27" s="117"/>
      <c r="J27" s="117"/>
      <c r="K27" s="54"/>
      <c r="L27" s="92"/>
      <c r="M27" s="90"/>
      <c r="N27" s="54"/>
      <c r="O27" s="55"/>
      <c r="P27" s="45" t="s">
        <v>356</v>
      </c>
      <c r="Q27" s="39"/>
      <c r="R27" s="39"/>
      <c r="S27" s="57" t="s">
        <v>357</v>
      </c>
      <c r="T27" s="78" t="s">
        <v>358</v>
      </c>
      <c r="U27" s="90"/>
      <c r="V27" s="54"/>
      <c r="W27" s="54"/>
      <c r="X27" s="55"/>
      <c r="Y27" s="45" t="s">
        <v>143</v>
      </c>
      <c r="Z27" s="54" t="s">
        <v>45</v>
      </c>
      <c r="AA27" s="92" t="s">
        <v>159</v>
      </c>
    </row>
    <row r="28" spans="1:27">
      <c r="A28" s="413"/>
      <c r="B28" s="415"/>
      <c r="C28" s="18"/>
      <c r="D28" s="18"/>
      <c r="E28" s="363"/>
      <c r="F28" s="366"/>
      <c r="G28" s="13"/>
      <c r="H28" s="394" t="s">
        <v>387</v>
      </c>
      <c r="I28" s="110"/>
      <c r="J28" s="110"/>
      <c r="K28" s="2"/>
      <c r="L28" s="100"/>
      <c r="M28" s="98"/>
      <c r="N28" s="2"/>
      <c r="O28" s="2"/>
      <c r="P28" s="28" t="s">
        <v>373</v>
      </c>
      <c r="Q28" s="39"/>
      <c r="R28" s="39"/>
      <c r="S28" s="62">
        <v>0.9</v>
      </c>
      <c r="T28" s="74">
        <v>0.95</v>
      </c>
      <c r="U28" s="98"/>
      <c r="V28" s="2"/>
      <c r="W28" s="2"/>
      <c r="X28" s="2"/>
      <c r="Y28" s="28" t="s">
        <v>159</v>
      </c>
      <c r="AA28" s="79"/>
    </row>
    <row r="29" spans="1:27">
      <c r="A29" s="413"/>
      <c r="B29" s="415"/>
      <c r="C29" s="18"/>
      <c r="D29" s="18"/>
      <c r="E29" s="363"/>
      <c r="F29" s="366"/>
      <c r="G29" s="2"/>
      <c r="H29" s="394"/>
      <c r="I29" s="110"/>
      <c r="J29" s="110"/>
      <c r="K29" s="2"/>
      <c r="L29" s="79"/>
      <c r="M29" s="98"/>
      <c r="N29" s="2"/>
      <c r="O29" s="2"/>
      <c r="P29" s="28" t="s">
        <v>374</v>
      </c>
      <c r="Q29" s="39"/>
      <c r="R29" s="39"/>
      <c r="S29" s="49"/>
      <c r="T29" s="79"/>
      <c r="U29" s="98"/>
      <c r="V29" s="2"/>
      <c r="W29" s="2"/>
      <c r="X29" s="2"/>
      <c r="Y29" s="28" t="s">
        <v>162</v>
      </c>
      <c r="AA29" s="79"/>
    </row>
    <row r="30" spans="1:27" ht="15.75" thickBot="1">
      <c r="A30" s="414"/>
      <c r="B30" s="416"/>
      <c r="C30" s="101"/>
      <c r="D30" s="101"/>
      <c r="E30" s="419"/>
      <c r="F30" s="420"/>
      <c r="G30" s="63"/>
      <c r="H30" s="421"/>
      <c r="I30" s="118"/>
      <c r="J30" s="118"/>
      <c r="K30" s="63"/>
      <c r="L30" s="82"/>
      <c r="M30" s="99"/>
      <c r="N30" s="63"/>
      <c r="O30" s="63"/>
      <c r="P30" s="80" t="s">
        <v>375</v>
      </c>
      <c r="Q30" s="124"/>
      <c r="R30" s="124"/>
      <c r="S30" s="81"/>
      <c r="T30" s="82"/>
      <c r="U30" s="99"/>
      <c r="V30" s="63"/>
      <c r="W30" s="63"/>
      <c r="X30" s="63"/>
      <c r="Y30" s="80" t="s">
        <v>162</v>
      </c>
      <c r="Z30" s="63"/>
      <c r="AA30" s="82"/>
    </row>
    <row r="31" spans="1:27">
      <c r="S31"/>
    </row>
    <row r="32" spans="1:27">
      <c r="S32"/>
    </row>
    <row r="33" spans="19:19">
      <c r="S33"/>
    </row>
    <row r="34" spans="19:19">
      <c r="S34"/>
    </row>
    <row r="35" spans="19:19">
      <c r="S35"/>
    </row>
    <row r="36" spans="19:19">
      <c r="S36"/>
    </row>
    <row r="37" spans="19:19">
      <c r="S37"/>
    </row>
    <row r="38" spans="19:19">
      <c r="S38" s="19"/>
    </row>
    <row r="39" spans="19:19">
      <c r="S39"/>
    </row>
    <row r="40" spans="19:19">
      <c r="S40"/>
    </row>
    <row r="41" spans="19:19">
      <c r="S41"/>
    </row>
    <row r="42" spans="19:19">
      <c r="S42"/>
    </row>
    <row r="43" spans="19:19">
      <c r="S43"/>
    </row>
    <row r="44" spans="19:19">
      <c r="S44"/>
    </row>
    <row r="45" spans="19:19">
      <c r="S45"/>
    </row>
    <row r="46" spans="19:19">
      <c r="S46" s="19"/>
    </row>
    <row r="47" spans="19:19">
      <c r="S47"/>
    </row>
    <row r="48" spans="19:19">
      <c r="S48"/>
    </row>
    <row r="49" spans="19:19">
      <c r="S49"/>
    </row>
    <row r="50" spans="19:19">
      <c r="S50"/>
    </row>
    <row r="51" spans="19:19">
      <c r="S51"/>
    </row>
    <row r="52" spans="19:19">
      <c r="S52"/>
    </row>
    <row r="53" spans="19:19">
      <c r="S53"/>
    </row>
    <row r="54" spans="19:19">
      <c r="S54" s="19"/>
    </row>
    <row r="55" spans="19:19">
      <c r="S55" s="19"/>
    </row>
    <row r="56" spans="19:19">
      <c r="S56"/>
    </row>
    <row r="57" spans="19:19">
      <c r="S57"/>
    </row>
    <row r="58" spans="19:19">
      <c r="S58"/>
    </row>
    <row r="59" spans="19:19">
      <c r="S59"/>
    </row>
    <row r="60" spans="19:19">
      <c r="S60"/>
    </row>
    <row r="61" spans="19:19">
      <c r="S61" s="19"/>
    </row>
    <row r="62" spans="19:19">
      <c r="S62"/>
    </row>
    <row r="63" spans="19:19">
      <c r="S63"/>
    </row>
    <row r="64" spans="19:19">
      <c r="S64"/>
    </row>
    <row r="65" spans="19:19">
      <c r="S65"/>
    </row>
    <row r="66" spans="19:19">
      <c r="S66"/>
    </row>
    <row r="67" spans="19:19">
      <c r="S67"/>
    </row>
    <row r="68" spans="19:19">
      <c r="S68"/>
    </row>
    <row r="69" spans="19:19">
      <c r="S69"/>
    </row>
    <row r="70" spans="19:19">
      <c r="S70"/>
    </row>
    <row r="71" spans="19:19">
      <c r="S71" s="19"/>
    </row>
    <row r="72" spans="19:19">
      <c r="S72"/>
    </row>
    <row r="73" spans="19:19">
      <c r="S73"/>
    </row>
    <row r="74" spans="19:19">
      <c r="S74"/>
    </row>
    <row r="75" spans="19:19">
      <c r="S75"/>
    </row>
    <row r="76" spans="19:19">
      <c r="S76"/>
    </row>
    <row r="77" spans="19:19">
      <c r="S77"/>
    </row>
    <row r="78" spans="19:19">
      <c r="S78"/>
    </row>
    <row r="79" spans="19:19">
      <c r="S79"/>
    </row>
    <row r="80" spans="19:19">
      <c r="S80"/>
    </row>
  </sheetData>
  <mergeCells count="57">
    <mergeCell ref="A23:A30"/>
    <mergeCell ref="B23:B30"/>
    <mergeCell ref="E2:F2"/>
    <mergeCell ref="H13:H15"/>
    <mergeCell ref="B16:B22"/>
    <mergeCell ref="H16:H17"/>
    <mergeCell ref="H18:H20"/>
    <mergeCell ref="E4:E15"/>
    <mergeCell ref="F4:F15"/>
    <mergeCell ref="E16:E22"/>
    <mergeCell ref="F16:F22"/>
    <mergeCell ref="E23:E30"/>
    <mergeCell ref="F23:F30"/>
    <mergeCell ref="H28:H30"/>
    <mergeCell ref="H26:H27"/>
    <mergeCell ref="G4:G7"/>
    <mergeCell ref="K10:K12"/>
    <mergeCell ref="L10:L12"/>
    <mergeCell ref="K13:K15"/>
    <mergeCell ref="S2:T2"/>
    <mergeCell ref="A4:A22"/>
    <mergeCell ref="H4:H6"/>
    <mergeCell ref="H7:H9"/>
    <mergeCell ref="H10:H12"/>
    <mergeCell ref="A2:A3"/>
    <mergeCell ref="B2:B3"/>
    <mergeCell ref="G2:G3"/>
    <mergeCell ref="H2:H3"/>
    <mergeCell ref="K2:L2"/>
    <mergeCell ref="B4:B15"/>
    <mergeCell ref="P2:P3"/>
    <mergeCell ref="L13:L15"/>
    <mergeCell ref="K16:K17"/>
    <mergeCell ref="L16:L17"/>
    <mergeCell ref="K18:K20"/>
    <mergeCell ref="L18:L20"/>
    <mergeCell ref="H23:H25"/>
    <mergeCell ref="U1:AA1"/>
    <mergeCell ref="Y2:Y3"/>
    <mergeCell ref="Z2:Z3"/>
    <mergeCell ref="AA2:AA3"/>
    <mergeCell ref="U2:X2"/>
    <mergeCell ref="M4:M6"/>
    <mergeCell ref="K4:K6"/>
    <mergeCell ref="L4:L6"/>
    <mergeCell ref="K7:K9"/>
    <mergeCell ref="L7:L9"/>
    <mergeCell ref="A1:F1"/>
    <mergeCell ref="I2:I3"/>
    <mergeCell ref="J2:J3"/>
    <mergeCell ref="Q2:Q3"/>
    <mergeCell ref="R2:R3"/>
    <mergeCell ref="C2:C3"/>
    <mergeCell ref="D2:D3"/>
    <mergeCell ref="M1:T1"/>
    <mergeCell ref="G1:L1"/>
    <mergeCell ref="M2:O2"/>
  </mergeCells>
  <phoneticPr fontId="13"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BCFA2-66EA-4F35-A2A6-6B2F253991C3}">
  <dimension ref="B1:H17"/>
  <sheetViews>
    <sheetView workbookViewId="0">
      <selection activeCell="B2" sqref="B2"/>
    </sheetView>
  </sheetViews>
  <sheetFormatPr defaultRowHeight="15"/>
  <cols>
    <col min="2" max="2" width="24.42578125" bestFit="1" customWidth="1"/>
    <col min="3" max="3" width="14.140625" bestFit="1" customWidth="1"/>
    <col min="4" max="4" width="28.85546875" bestFit="1" customWidth="1"/>
    <col min="5" max="5" width="28.85546875" customWidth="1"/>
    <col min="6" max="6" width="24.140625" bestFit="1" customWidth="1"/>
    <col min="7" max="7" width="15" customWidth="1"/>
  </cols>
  <sheetData>
    <row r="1" spans="2:8">
      <c r="H1" s="19" t="s">
        <v>130</v>
      </c>
    </row>
    <row r="2" spans="2:8">
      <c r="B2" s="126" t="s">
        <v>127</v>
      </c>
      <c r="C2" s="126" t="s">
        <v>133</v>
      </c>
      <c r="D2" s="126" t="s">
        <v>3</v>
      </c>
      <c r="E2" s="126" t="s">
        <v>388</v>
      </c>
      <c r="F2" s="126" t="s">
        <v>4</v>
      </c>
      <c r="G2" s="134" t="s">
        <v>388</v>
      </c>
    </row>
    <row r="3" spans="2:8">
      <c r="B3" s="426" t="s">
        <v>389</v>
      </c>
      <c r="C3" s="430" t="s">
        <v>165</v>
      </c>
      <c r="D3" s="433" t="s">
        <v>53</v>
      </c>
      <c r="E3" s="129" t="s">
        <v>390</v>
      </c>
      <c r="F3" s="127" t="s">
        <v>356</v>
      </c>
      <c r="G3" s="135" t="s">
        <v>391</v>
      </c>
    </row>
    <row r="4" spans="2:8">
      <c r="B4" s="426"/>
      <c r="C4" s="431"/>
      <c r="D4" s="434"/>
      <c r="E4" s="130"/>
      <c r="F4" s="127" t="s">
        <v>24</v>
      </c>
      <c r="G4" s="135" t="s">
        <v>392</v>
      </c>
    </row>
    <row r="5" spans="2:8">
      <c r="B5" s="426"/>
      <c r="C5" s="431"/>
      <c r="D5" s="433" t="s">
        <v>144</v>
      </c>
      <c r="E5" s="135" t="s">
        <v>393</v>
      </c>
      <c r="F5" s="127" t="s">
        <v>59</v>
      </c>
      <c r="G5" s="135" t="s">
        <v>394</v>
      </c>
    </row>
    <row r="6" spans="2:8">
      <c r="B6" s="426"/>
      <c r="C6" s="431"/>
      <c r="D6" s="435"/>
      <c r="E6" s="131"/>
      <c r="F6" s="127" t="s">
        <v>30</v>
      </c>
      <c r="G6" s="135" t="s">
        <v>395</v>
      </c>
    </row>
    <row r="7" spans="2:8">
      <c r="B7" s="426" t="s">
        <v>396</v>
      </c>
      <c r="C7" s="432"/>
      <c r="D7" s="434"/>
      <c r="E7" s="130"/>
      <c r="F7" s="127" t="s">
        <v>158</v>
      </c>
      <c r="G7" s="136" t="s">
        <v>397</v>
      </c>
    </row>
    <row r="8" spans="2:8">
      <c r="B8" s="426"/>
      <c r="C8" s="430" t="s">
        <v>170</v>
      </c>
      <c r="D8" s="433" t="s">
        <v>148</v>
      </c>
      <c r="E8" s="129" t="s">
        <v>398</v>
      </c>
      <c r="F8" s="127" t="s">
        <v>399</v>
      </c>
      <c r="G8" s="135" t="s">
        <v>400</v>
      </c>
    </row>
    <row r="9" spans="2:8">
      <c r="B9" s="426"/>
      <c r="C9" s="431"/>
      <c r="D9" s="435"/>
      <c r="E9" s="131"/>
      <c r="F9" s="127" t="s">
        <v>401</v>
      </c>
      <c r="G9" s="135" t="s">
        <v>392</v>
      </c>
    </row>
    <row r="10" spans="2:8">
      <c r="B10" s="426"/>
      <c r="C10" s="431"/>
      <c r="D10" s="434"/>
      <c r="E10" s="130"/>
      <c r="F10" s="127" t="s">
        <v>402</v>
      </c>
      <c r="G10" s="135" t="s">
        <v>393</v>
      </c>
    </row>
    <row r="11" spans="2:8">
      <c r="B11" s="426"/>
      <c r="C11" s="431"/>
      <c r="D11" s="433" t="s">
        <v>150</v>
      </c>
      <c r="E11" s="129" t="s">
        <v>403</v>
      </c>
      <c r="F11" s="127" t="s">
        <v>50</v>
      </c>
      <c r="G11" s="135" t="s">
        <v>392</v>
      </c>
    </row>
    <row r="12" spans="2:8">
      <c r="B12" s="426"/>
      <c r="C12" s="432"/>
      <c r="D12" s="434"/>
      <c r="E12" s="130"/>
      <c r="F12" s="127" t="s">
        <v>163</v>
      </c>
      <c r="G12" s="135" t="s">
        <v>392</v>
      </c>
    </row>
    <row r="13" spans="2:8">
      <c r="B13" s="427" t="s">
        <v>383</v>
      </c>
      <c r="C13" s="436" t="s">
        <v>175</v>
      </c>
      <c r="D13" s="433" t="s">
        <v>12</v>
      </c>
      <c r="E13" s="129" t="s">
        <v>404</v>
      </c>
      <c r="F13" s="127" t="s">
        <v>356</v>
      </c>
      <c r="G13" s="135" t="s">
        <v>391</v>
      </c>
    </row>
    <row r="14" spans="2:8">
      <c r="B14" s="427"/>
      <c r="C14" s="437"/>
      <c r="D14" s="435"/>
      <c r="E14" s="131"/>
      <c r="F14" s="127" t="s">
        <v>24</v>
      </c>
      <c r="G14" s="135" t="s">
        <v>392</v>
      </c>
    </row>
    <row r="15" spans="2:8">
      <c r="B15" s="427"/>
      <c r="C15" s="437"/>
      <c r="D15" s="434"/>
      <c r="E15" s="130"/>
      <c r="F15" s="127" t="s">
        <v>405</v>
      </c>
      <c r="G15" s="135" t="s">
        <v>392</v>
      </c>
    </row>
    <row r="16" spans="2:8">
      <c r="B16" s="427"/>
      <c r="C16" s="437"/>
      <c r="D16" s="428" t="s">
        <v>160</v>
      </c>
      <c r="E16" s="132" t="s">
        <v>406</v>
      </c>
      <c r="F16" s="127" t="s">
        <v>178</v>
      </c>
      <c r="G16" s="135" t="s">
        <v>392</v>
      </c>
    </row>
    <row r="17" spans="2:7">
      <c r="B17" s="427"/>
      <c r="C17" s="437"/>
      <c r="D17" s="429"/>
      <c r="E17" s="133"/>
      <c r="F17" s="128" t="s">
        <v>174</v>
      </c>
      <c r="G17" s="135" t="s">
        <v>392</v>
      </c>
    </row>
  </sheetData>
  <mergeCells count="12">
    <mergeCell ref="B3:B6"/>
    <mergeCell ref="B7:B12"/>
    <mergeCell ref="B13:B17"/>
    <mergeCell ref="D16:D17"/>
    <mergeCell ref="C3:C7"/>
    <mergeCell ref="D3:D4"/>
    <mergeCell ref="D5:D7"/>
    <mergeCell ref="D8:D10"/>
    <mergeCell ref="D11:D12"/>
    <mergeCell ref="D13:D15"/>
    <mergeCell ref="C8:C12"/>
    <mergeCell ref="C13:C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06FC-404F-4CDE-8AA2-AAA3FED57143}">
  <dimension ref="A1"/>
  <sheetViews>
    <sheetView topLeftCell="D8" zoomScale="105" workbookViewId="0">
      <selection activeCell="K6" sqref="K6"/>
    </sheetView>
  </sheetViews>
  <sheetFormatPr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8544B-2DA3-4BF9-9C84-AE14344E7CF6}">
  <dimension ref="B1:I27"/>
  <sheetViews>
    <sheetView zoomScale="56" workbookViewId="0">
      <selection activeCell="B3" sqref="B3:B13"/>
    </sheetView>
  </sheetViews>
  <sheetFormatPr defaultRowHeight="15"/>
  <cols>
    <col min="2" max="2" width="31" style="1" bestFit="1" customWidth="1"/>
    <col min="3" max="3" width="31" style="1" customWidth="1"/>
    <col min="4" max="4" width="36.85546875" style="1" bestFit="1" customWidth="1"/>
    <col min="5" max="5" width="36.85546875" style="1" customWidth="1"/>
    <col min="6" max="6" width="28.85546875" style="1" bestFit="1" customWidth="1"/>
    <col min="7" max="7" width="60" style="1" customWidth="1"/>
    <col min="8" max="8" width="36.28515625" bestFit="1" customWidth="1"/>
  </cols>
  <sheetData>
    <row r="1" spans="2:9">
      <c r="B1" s="453" t="s">
        <v>331</v>
      </c>
      <c r="C1" s="3"/>
      <c r="D1" s="457" t="s">
        <v>128</v>
      </c>
      <c r="E1" s="451" t="s">
        <v>407</v>
      </c>
      <c r="F1" s="445" t="s">
        <v>129</v>
      </c>
      <c r="G1" s="438" t="s">
        <v>408</v>
      </c>
      <c r="H1" s="438" t="s">
        <v>409</v>
      </c>
    </row>
    <row r="2" spans="2:9">
      <c r="B2" s="401" t="s">
        <v>2</v>
      </c>
      <c r="C2" s="5"/>
      <c r="D2" s="404"/>
      <c r="E2" s="452"/>
      <c r="F2" s="409"/>
      <c r="G2" s="438"/>
      <c r="H2" s="438"/>
    </row>
    <row r="3" spans="2:9" ht="63.75">
      <c r="B3" s="405" t="s">
        <v>351</v>
      </c>
      <c r="C3" s="10"/>
      <c r="D3" s="458" t="s">
        <v>234</v>
      </c>
      <c r="E3" s="38" t="s">
        <v>410</v>
      </c>
      <c r="F3" s="41" t="s">
        <v>356</v>
      </c>
      <c r="G3" s="39" t="s">
        <v>411</v>
      </c>
      <c r="H3" s="48" t="s">
        <v>412</v>
      </c>
    </row>
    <row r="4" spans="2:9" ht="51">
      <c r="B4" s="406"/>
      <c r="C4" s="12"/>
      <c r="D4" s="443"/>
      <c r="E4" s="23"/>
      <c r="F4" s="42" t="s">
        <v>360</v>
      </c>
      <c r="G4" s="39" t="s">
        <v>413</v>
      </c>
      <c r="H4" s="48" t="s">
        <v>412</v>
      </c>
      <c r="I4" s="37"/>
    </row>
    <row r="5" spans="2:9" ht="89.25">
      <c r="B5" s="406"/>
      <c r="C5" s="12"/>
      <c r="D5" s="440"/>
      <c r="E5" s="24"/>
      <c r="F5" s="29" t="s">
        <v>158</v>
      </c>
      <c r="G5" s="39" t="s">
        <v>414</v>
      </c>
      <c r="H5" s="48" t="s">
        <v>415</v>
      </c>
    </row>
    <row r="6" spans="2:9" ht="63.75">
      <c r="B6" s="406"/>
      <c r="C6" s="12"/>
      <c r="D6" s="439" t="s">
        <v>176</v>
      </c>
      <c r="E6" s="25" t="s">
        <v>416</v>
      </c>
      <c r="F6" s="43" t="s">
        <v>363</v>
      </c>
      <c r="G6" s="39" t="s">
        <v>417</v>
      </c>
      <c r="H6" s="48" t="s">
        <v>418</v>
      </c>
    </row>
    <row r="7" spans="2:9" ht="63.75">
      <c r="B7" s="406"/>
      <c r="C7" s="12"/>
      <c r="D7" s="440"/>
      <c r="E7" s="24"/>
      <c r="F7" s="29" t="s">
        <v>367</v>
      </c>
      <c r="G7" s="39" t="s">
        <v>419</v>
      </c>
      <c r="H7" s="48" t="s">
        <v>420</v>
      </c>
    </row>
    <row r="8" spans="2:9" ht="51">
      <c r="B8" s="406"/>
      <c r="C8" s="12"/>
      <c r="D8" s="26" t="s">
        <v>380</v>
      </c>
      <c r="E8" s="40" t="s">
        <v>421</v>
      </c>
      <c r="F8" s="44" t="s">
        <v>381</v>
      </c>
      <c r="G8" s="39" t="s">
        <v>422</v>
      </c>
      <c r="H8" s="48" t="s">
        <v>423</v>
      </c>
    </row>
    <row r="9" spans="2:9" ht="51">
      <c r="B9" s="406"/>
      <c r="C9" s="12"/>
      <c r="D9" s="458" t="s">
        <v>144</v>
      </c>
      <c r="E9" s="38" t="s">
        <v>424</v>
      </c>
      <c r="F9" s="27" t="s">
        <v>360</v>
      </c>
      <c r="G9" s="39" t="s">
        <v>425</v>
      </c>
      <c r="H9" s="48" t="s">
        <v>426</v>
      </c>
    </row>
    <row r="10" spans="2:9" ht="51">
      <c r="B10" s="406"/>
      <c r="C10" s="12"/>
      <c r="D10" s="443"/>
      <c r="E10" s="23"/>
      <c r="F10" s="28" t="s">
        <v>427</v>
      </c>
      <c r="G10" s="39" t="s">
        <v>428</v>
      </c>
      <c r="H10" s="48" t="s">
        <v>426</v>
      </c>
    </row>
    <row r="11" spans="2:9" ht="38.25">
      <c r="B11" s="406"/>
      <c r="C11" s="12"/>
      <c r="D11" s="443" t="s">
        <v>429</v>
      </c>
      <c r="E11" s="46" t="s">
        <v>430</v>
      </c>
      <c r="F11" s="28" t="s">
        <v>373</v>
      </c>
      <c r="G11" s="4" t="s">
        <v>431</v>
      </c>
      <c r="H11" s="48" t="s">
        <v>432</v>
      </c>
    </row>
    <row r="12" spans="2:9" ht="38.25">
      <c r="B12" s="406"/>
      <c r="C12" s="12"/>
      <c r="D12" s="443"/>
      <c r="E12" s="23"/>
      <c r="F12" s="28" t="s">
        <v>374</v>
      </c>
      <c r="G12" s="4"/>
      <c r="H12" s="48" t="s">
        <v>433</v>
      </c>
    </row>
    <row r="13" spans="2:9" ht="38.25">
      <c r="B13" s="407"/>
      <c r="C13" s="16"/>
      <c r="D13" s="444"/>
      <c r="E13" s="26"/>
      <c r="F13" s="31" t="s">
        <v>375</v>
      </c>
      <c r="G13" s="4"/>
      <c r="H13" s="48" t="s">
        <v>434</v>
      </c>
    </row>
    <row r="14" spans="2:9">
      <c r="B14" s="454" t="s">
        <v>376</v>
      </c>
      <c r="C14" s="10"/>
      <c r="D14" s="458" t="s">
        <v>234</v>
      </c>
      <c r="E14" s="22"/>
      <c r="F14" s="41" t="s">
        <v>356</v>
      </c>
      <c r="G14" s="4"/>
      <c r="H14" s="49"/>
    </row>
    <row r="15" spans="2:9">
      <c r="B15" s="455"/>
      <c r="C15" s="12"/>
      <c r="D15" s="443"/>
      <c r="E15" s="23"/>
      <c r="F15" s="42" t="s">
        <v>360</v>
      </c>
      <c r="G15" s="4"/>
      <c r="H15" s="49"/>
    </row>
    <row r="16" spans="2:9">
      <c r="B16" s="455"/>
      <c r="C16" s="12"/>
      <c r="D16" s="439" t="s">
        <v>176</v>
      </c>
      <c r="E16" s="25"/>
      <c r="F16" s="30" t="s">
        <v>363</v>
      </c>
      <c r="G16" s="4"/>
      <c r="H16" s="49"/>
    </row>
    <row r="17" spans="2:8">
      <c r="B17" s="455"/>
      <c r="C17" s="12"/>
      <c r="D17" s="440"/>
      <c r="E17" s="24"/>
      <c r="F17" s="29" t="s">
        <v>377</v>
      </c>
      <c r="G17" s="4"/>
      <c r="H17" s="49"/>
    </row>
    <row r="18" spans="2:8">
      <c r="B18" s="455"/>
      <c r="C18" s="12"/>
      <c r="D18" s="26" t="s">
        <v>380</v>
      </c>
      <c r="E18" s="40"/>
      <c r="F18" s="44" t="s">
        <v>381</v>
      </c>
      <c r="G18" s="39"/>
      <c r="H18" s="48"/>
    </row>
    <row r="19" spans="2:8" ht="51">
      <c r="B19" s="455"/>
      <c r="C19" s="12"/>
      <c r="D19" s="50" t="s">
        <v>382</v>
      </c>
      <c r="E19" s="47" t="s">
        <v>435</v>
      </c>
      <c r="F19" s="28" t="s">
        <v>427</v>
      </c>
      <c r="G19" s="39" t="s">
        <v>436</v>
      </c>
      <c r="H19" s="48" t="s">
        <v>437</v>
      </c>
    </row>
    <row r="20" spans="2:8">
      <c r="B20" s="415" t="s">
        <v>384</v>
      </c>
      <c r="C20" s="18"/>
      <c r="D20" s="441" t="s">
        <v>385</v>
      </c>
      <c r="E20" s="35"/>
      <c r="F20" s="27" t="s">
        <v>367</v>
      </c>
      <c r="G20" s="4"/>
      <c r="H20" s="49"/>
    </row>
    <row r="21" spans="2:8">
      <c r="B21" s="415"/>
      <c r="C21" s="18"/>
      <c r="D21" s="442"/>
      <c r="E21" s="36"/>
      <c r="F21" s="29" t="s">
        <v>377</v>
      </c>
      <c r="G21" s="4"/>
      <c r="H21" s="49"/>
    </row>
    <row r="22" spans="2:8">
      <c r="B22" s="415"/>
      <c r="C22" s="18"/>
      <c r="D22" s="449" t="s">
        <v>386</v>
      </c>
      <c r="E22" s="34"/>
      <c r="F22" s="28" t="s">
        <v>360</v>
      </c>
      <c r="G22" s="4"/>
      <c r="H22" s="49"/>
    </row>
    <row r="23" spans="2:8">
      <c r="B23" s="415"/>
      <c r="C23" s="18"/>
      <c r="D23" s="450"/>
      <c r="E23" s="34"/>
      <c r="F23" s="28" t="s">
        <v>356</v>
      </c>
      <c r="G23" s="4"/>
      <c r="H23" s="49"/>
    </row>
    <row r="24" spans="2:8" ht="38.25">
      <c r="B24" s="455"/>
      <c r="C24" s="446" t="s">
        <v>438</v>
      </c>
      <c r="D24" s="443" t="s">
        <v>387</v>
      </c>
      <c r="E24" s="46" t="s">
        <v>430</v>
      </c>
      <c r="F24" s="28" t="s">
        <v>373</v>
      </c>
      <c r="G24" s="4" t="s">
        <v>431</v>
      </c>
      <c r="H24" s="48" t="s">
        <v>432</v>
      </c>
    </row>
    <row r="25" spans="2:8" ht="38.25">
      <c r="B25" s="455"/>
      <c r="C25" s="447"/>
      <c r="D25" s="443"/>
      <c r="E25" s="23"/>
      <c r="F25" s="28" t="s">
        <v>374</v>
      </c>
      <c r="G25" s="4"/>
      <c r="H25" s="48" t="s">
        <v>433</v>
      </c>
    </row>
    <row r="26" spans="2:8" ht="38.25">
      <c r="B26" s="456"/>
      <c r="C26" s="448"/>
      <c r="D26" s="444"/>
      <c r="E26" s="26"/>
      <c r="F26" s="31" t="s">
        <v>375</v>
      </c>
      <c r="G26" s="4"/>
      <c r="H26" s="48" t="s">
        <v>434</v>
      </c>
    </row>
    <row r="27" spans="2:8">
      <c r="B27" s="13"/>
      <c r="C27" s="13"/>
      <c r="D27" s="4"/>
      <c r="E27" s="4"/>
    </row>
  </sheetData>
  <mergeCells count="19">
    <mergeCell ref="C24:C26"/>
    <mergeCell ref="D22:D23"/>
    <mergeCell ref="E1:E2"/>
    <mergeCell ref="B1:B2"/>
    <mergeCell ref="B3:B13"/>
    <mergeCell ref="B14:B19"/>
    <mergeCell ref="B20:B26"/>
    <mergeCell ref="D1:D2"/>
    <mergeCell ref="D3:D5"/>
    <mergeCell ref="D6:D7"/>
    <mergeCell ref="D9:D10"/>
    <mergeCell ref="D11:D13"/>
    <mergeCell ref="D14:D15"/>
    <mergeCell ref="G1:G2"/>
    <mergeCell ref="H1:H2"/>
    <mergeCell ref="D16:D17"/>
    <mergeCell ref="D20:D21"/>
    <mergeCell ref="D24:D26"/>
    <mergeCell ref="F1:F2"/>
  </mergeCells>
  <pageMargins left="0.7" right="0.7" top="0.75" bottom="0.75" header="0.3" footer="0.3"/>
</worksheet>
</file>

<file path=docMetadata/LabelInfo.xml><?xml version="1.0" encoding="utf-8"?>
<clbl:labelList xmlns:clbl="http://schemas.microsoft.com/office/2020/mipLabelMetadata">
  <clbl:label id="{638fcbaf-ba4c-43e1-adae-5475c970fe10}" enabled="0" method="" siteId="{638fcbaf-ba4c-43e1-adae-5475c970fe1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Nitesh Saini</dc:creator>
  <cp:keywords/>
  <dc:description/>
  <cp:lastModifiedBy>Pratheek Basrithaya</cp:lastModifiedBy>
  <cp:revision/>
  <dcterms:created xsi:type="dcterms:W3CDTF">2025-03-20T13:40:11Z</dcterms:created>
  <dcterms:modified xsi:type="dcterms:W3CDTF">2026-06-11T14:24:06Z</dcterms:modified>
  <cp:category/>
  <cp:contentStatus/>
</cp:coreProperties>
</file>